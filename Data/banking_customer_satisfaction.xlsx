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fff6d5601abf3d57/Desktop/Data Analytics/Intership/"/>
    </mc:Choice>
  </mc:AlternateContent>
  <xr:revisionPtr revIDLastSave="1727" documentId="13_ncr:1_{3194A927-2C43-4902-A8CB-C2732ED7AF69}" xr6:coauthVersionLast="47" xr6:coauthVersionMax="47" xr10:uidLastSave="{CD319C60-39BA-45F1-AB3E-6D7CD9FEDD47}"/>
  <bookViews>
    <workbookView xWindow="-108" yWindow="-108" windowWidth="23256" windowHeight="12456" activeTab="2" xr2:uid="{00000000-000D-0000-FFFF-FFFF00000000}"/>
  </bookViews>
  <sheets>
    <sheet name="Complaints_Data" sheetId="1" r:id="rId1"/>
    <sheet name="Pivot table" sheetId="3" r:id="rId2"/>
    <sheet name="Dashboard" sheetId="4" r:id="rId3"/>
  </sheets>
  <definedNames>
    <definedName name="avgcustrating">'Pivot table'!$I$37</definedName>
    <definedName name="AvgResolutime">'Pivot table'!$I$38</definedName>
    <definedName name="NativeTimeline_Complaint_Date">#N/A</definedName>
    <definedName name="resolved_comp">'Pivot table'!$I$36</definedName>
    <definedName name="Slicer_Channel">#N/A</definedName>
    <definedName name="Slicer_Complaint_Type">#N/A</definedName>
    <definedName name="Slicer_Resolution_Status">#N/A</definedName>
    <definedName name="Total_comp">'Pivot table'!$I$35</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7" i="3" l="1"/>
  <c r="I38" i="3"/>
  <c r="I36" i="3"/>
  <c r="I35" i="3"/>
</calcChain>
</file>

<file path=xl/sharedStrings.xml><?xml version="1.0" encoding="utf-8"?>
<sst xmlns="http://schemas.openxmlformats.org/spreadsheetml/2006/main" count="6061" uniqueCount="2451">
  <si>
    <t>Complaint_ID</t>
  </si>
  <si>
    <t>Customer_ID</t>
  </si>
  <si>
    <t>Complaint_Type</t>
  </si>
  <si>
    <t>Channel</t>
  </si>
  <si>
    <t>Complaint_Date</t>
  </si>
  <si>
    <t>Resolution_Time_Hours</t>
  </si>
  <si>
    <t>Resolution_Status</t>
  </si>
  <si>
    <t>Resolution_Date</t>
  </si>
  <si>
    <t>Customer_Rating</t>
  </si>
  <si>
    <t>DBK-CMP-100000</t>
  </si>
  <si>
    <t>DBK-CUS-500000</t>
  </si>
  <si>
    <t>ATM Issue</t>
  </si>
  <si>
    <t>Email</t>
  </si>
  <si>
    <t>In Progress</t>
  </si>
  <si>
    <t>DBK-CMP-100001</t>
  </si>
  <si>
    <t>DBK-CUS-500001</t>
  </si>
  <si>
    <t>Loan Inquiry</t>
  </si>
  <si>
    <t>Branch</t>
  </si>
  <si>
    <t>Resolved</t>
  </si>
  <si>
    <t>DBK-CMP-100002</t>
  </si>
  <si>
    <t>DBK-CUS-500002</t>
  </si>
  <si>
    <t>DBK-CMP-100003</t>
  </si>
  <si>
    <t>DBK-CUS-500003</t>
  </si>
  <si>
    <t>Call Center</t>
  </si>
  <si>
    <t>DBK-CMP-100004</t>
  </si>
  <si>
    <t>DBK-CUS-500004</t>
  </si>
  <si>
    <t>DBK-CMP-100005</t>
  </si>
  <si>
    <t>DBK-CUS-500005</t>
  </si>
  <si>
    <t>Fraud Investigation</t>
  </si>
  <si>
    <t>DBK-CMP-100006</t>
  </si>
  <si>
    <t>DBK-CUS-500006</t>
  </si>
  <si>
    <t>Website</t>
  </si>
  <si>
    <t>Pending</t>
  </si>
  <si>
    <t>DBK-CMP-100007</t>
  </si>
  <si>
    <t>DBK-CUS-500007</t>
  </si>
  <si>
    <t>Service Delay</t>
  </si>
  <si>
    <t>DBK-CMP-100008</t>
  </si>
  <si>
    <t>DBK-CUS-500008</t>
  </si>
  <si>
    <t>Online Banking Error</t>
  </si>
  <si>
    <t>DBK-CMP-100009</t>
  </si>
  <si>
    <t>DBK-CUS-500009</t>
  </si>
  <si>
    <t>Transaction Issue</t>
  </si>
  <si>
    <t>DBK-CMP-100010</t>
  </si>
  <si>
    <t>DBK-CUS-500010</t>
  </si>
  <si>
    <t>DBK-CMP-100011</t>
  </si>
  <si>
    <t>DBK-CUS-500011</t>
  </si>
  <si>
    <t>DBK-CMP-100012</t>
  </si>
  <si>
    <t>DBK-CUS-500012</t>
  </si>
  <si>
    <t>DBK-CMP-100013</t>
  </si>
  <si>
    <t>DBK-CUS-500013</t>
  </si>
  <si>
    <t>DBK-CMP-100014</t>
  </si>
  <si>
    <t>DBK-CUS-500014</t>
  </si>
  <si>
    <t>Card Problem</t>
  </si>
  <si>
    <t>DBK-CMP-100015</t>
  </si>
  <si>
    <t>DBK-CUS-500015</t>
  </si>
  <si>
    <t>DBK-CMP-100016</t>
  </si>
  <si>
    <t>DBK-CUS-500016</t>
  </si>
  <si>
    <t>DBK-CMP-100017</t>
  </si>
  <si>
    <t>DBK-CUS-500017</t>
  </si>
  <si>
    <t>DBK-CMP-100018</t>
  </si>
  <si>
    <t>DBK-CUS-500018</t>
  </si>
  <si>
    <t>DBK-CMP-100019</t>
  </si>
  <si>
    <t>DBK-CUS-500019</t>
  </si>
  <si>
    <t>DBK-CMP-100020</t>
  </si>
  <si>
    <t>DBK-CUS-500020</t>
  </si>
  <si>
    <t>DBK-CMP-100021</t>
  </si>
  <si>
    <t>DBK-CUS-500021</t>
  </si>
  <si>
    <t>DBK-CMP-100022</t>
  </si>
  <si>
    <t>DBK-CUS-500022</t>
  </si>
  <si>
    <t>Mobile App</t>
  </si>
  <si>
    <t>DBK-CMP-100023</t>
  </si>
  <si>
    <t>DBK-CUS-500023</t>
  </si>
  <si>
    <t>DBK-CMP-100024</t>
  </si>
  <si>
    <t>DBK-CUS-500024</t>
  </si>
  <si>
    <t>DBK-CMP-100025</t>
  </si>
  <si>
    <t>DBK-CUS-500025</t>
  </si>
  <si>
    <t>DBK-CMP-100026</t>
  </si>
  <si>
    <t>DBK-CUS-500026</t>
  </si>
  <si>
    <t>Account Access</t>
  </si>
  <si>
    <t>DBK-CMP-100027</t>
  </si>
  <si>
    <t>DBK-CUS-500027</t>
  </si>
  <si>
    <t>DBK-CMP-100028</t>
  </si>
  <si>
    <t>DBK-CUS-500028</t>
  </si>
  <si>
    <t>DBK-CMP-100029</t>
  </si>
  <si>
    <t>DBK-CUS-500029</t>
  </si>
  <si>
    <t>DBK-CMP-100030</t>
  </si>
  <si>
    <t>DBK-CUS-500030</t>
  </si>
  <si>
    <t>DBK-CMP-100031</t>
  </si>
  <si>
    <t>DBK-CUS-500031</t>
  </si>
  <si>
    <t>DBK-CMP-100032</t>
  </si>
  <si>
    <t>DBK-CUS-500032</t>
  </si>
  <si>
    <t>DBK-CMP-100033</t>
  </si>
  <si>
    <t>DBK-CUS-500033</t>
  </si>
  <si>
    <t>DBK-CMP-100034</t>
  </si>
  <si>
    <t>DBK-CUS-500034</t>
  </si>
  <si>
    <t>DBK-CMP-100035</t>
  </si>
  <si>
    <t>DBK-CUS-500035</t>
  </si>
  <si>
    <t>DBK-CMP-100036</t>
  </si>
  <si>
    <t>DBK-CUS-500036</t>
  </si>
  <si>
    <t>DBK-CMP-100037</t>
  </si>
  <si>
    <t>DBK-CUS-500037</t>
  </si>
  <si>
    <t>DBK-CMP-100038</t>
  </si>
  <si>
    <t>DBK-CUS-500038</t>
  </si>
  <si>
    <t>DBK-CMP-100039</t>
  </si>
  <si>
    <t>DBK-CUS-500039</t>
  </si>
  <si>
    <t>DBK-CMP-100040</t>
  </si>
  <si>
    <t>DBK-CUS-500040</t>
  </si>
  <si>
    <t>DBK-CMP-100041</t>
  </si>
  <si>
    <t>DBK-CUS-500041</t>
  </si>
  <si>
    <t>DBK-CMP-100042</t>
  </si>
  <si>
    <t>DBK-CUS-500042</t>
  </si>
  <si>
    <t>DBK-CMP-100043</t>
  </si>
  <si>
    <t>DBK-CUS-500043</t>
  </si>
  <si>
    <t>DBK-CMP-100044</t>
  </si>
  <si>
    <t>DBK-CUS-500044</t>
  </si>
  <si>
    <t>DBK-CMP-100045</t>
  </si>
  <si>
    <t>DBK-CUS-500045</t>
  </si>
  <si>
    <t>DBK-CMP-100046</t>
  </si>
  <si>
    <t>DBK-CUS-500046</t>
  </si>
  <si>
    <t>DBK-CMP-100047</t>
  </si>
  <si>
    <t>DBK-CUS-500047</t>
  </si>
  <si>
    <t>DBK-CMP-100048</t>
  </si>
  <si>
    <t>DBK-CUS-500048</t>
  </si>
  <si>
    <t>DBK-CMP-100049</t>
  </si>
  <si>
    <t>DBK-CUS-500049</t>
  </si>
  <si>
    <t>DBK-CMP-100050</t>
  </si>
  <si>
    <t>DBK-CUS-500050</t>
  </si>
  <si>
    <t>DBK-CMP-100051</t>
  </si>
  <si>
    <t>DBK-CUS-500051</t>
  </si>
  <si>
    <t>DBK-CMP-100052</t>
  </si>
  <si>
    <t>DBK-CUS-500052</t>
  </si>
  <si>
    <t>DBK-CMP-100053</t>
  </si>
  <si>
    <t>DBK-CUS-500053</t>
  </si>
  <si>
    <t>DBK-CMP-100054</t>
  </si>
  <si>
    <t>DBK-CUS-500054</t>
  </si>
  <si>
    <t>DBK-CMP-100055</t>
  </si>
  <si>
    <t>DBK-CUS-500055</t>
  </si>
  <si>
    <t>DBK-CMP-100056</t>
  </si>
  <si>
    <t>DBK-CUS-500056</t>
  </si>
  <si>
    <t>DBK-CMP-100057</t>
  </si>
  <si>
    <t>DBK-CUS-500057</t>
  </si>
  <si>
    <t>DBK-CMP-100058</t>
  </si>
  <si>
    <t>DBK-CUS-500058</t>
  </si>
  <si>
    <t>DBK-CMP-100059</t>
  </si>
  <si>
    <t>DBK-CUS-500059</t>
  </si>
  <si>
    <t>DBK-CMP-100060</t>
  </si>
  <si>
    <t>DBK-CUS-500060</t>
  </si>
  <si>
    <t>DBK-CMP-100061</t>
  </si>
  <si>
    <t>DBK-CUS-500061</t>
  </si>
  <si>
    <t>DBK-CMP-100062</t>
  </si>
  <si>
    <t>DBK-CUS-500062</t>
  </si>
  <si>
    <t>DBK-CMP-100063</t>
  </si>
  <si>
    <t>DBK-CUS-500063</t>
  </si>
  <si>
    <t>DBK-CMP-100064</t>
  </si>
  <si>
    <t>DBK-CUS-500064</t>
  </si>
  <si>
    <t>DBK-CMP-100065</t>
  </si>
  <si>
    <t>DBK-CUS-500065</t>
  </si>
  <si>
    <t>DBK-CMP-100066</t>
  </si>
  <si>
    <t>DBK-CUS-500066</t>
  </si>
  <si>
    <t>DBK-CMP-100067</t>
  </si>
  <si>
    <t>DBK-CUS-500067</t>
  </si>
  <si>
    <t>DBK-CMP-100068</t>
  </si>
  <si>
    <t>DBK-CUS-500068</t>
  </si>
  <si>
    <t>DBK-CMP-100069</t>
  </si>
  <si>
    <t>DBK-CUS-500069</t>
  </si>
  <si>
    <t>DBK-CMP-100070</t>
  </si>
  <si>
    <t>DBK-CUS-500070</t>
  </si>
  <si>
    <t>DBK-CMP-100071</t>
  </si>
  <si>
    <t>DBK-CUS-500071</t>
  </si>
  <si>
    <t>DBK-CMP-100072</t>
  </si>
  <si>
    <t>DBK-CUS-500072</t>
  </si>
  <si>
    <t>DBK-CMP-100073</t>
  </si>
  <si>
    <t>DBK-CUS-500073</t>
  </si>
  <si>
    <t>DBK-CMP-100074</t>
  </si>
  <si>
    <t>DBK-CUS-500074</t>
  </si>
  <si>
    <t>DBK-CMP-100075</t>
  </si>
  <si>
    <t>DBK-CUS-500075</t>
  </si>
  <si>
    <t>DBK-CMP-100076</t>
  </si>
  <si>
    <t>DBK-CUS-500076</t>
  </si>
  <si>
    <t>DBK-CMP-100077</t>
  </si>
  <si>
    <t>DBK-CUS-500077</t>
  </si>
  <si>
    <t>DBK-CMP-100078</t>
  </si>
  <si>
    <t>DBK-CUS-500078</t>
  </si>
  <si>
    <t>DBK-CMP-100079</t>
  </si>
  <si>
    <t>DBK-CUS-500079</t>
  </si>
  <si>
    <t>DBK-CMP-100080</t>
  </si>
  <si>
    <t>DBK-CUS-500080</t>
  </si>
  <si>
    <t>DBK-CMP-100081</t>
  </si>
  <si>
    <t>DBK-CUS-500081</t>
  </si>
  <si>
    <t>DBK-CMP-100082</t>
  </si>
  <si>
    <t>DBK-CUS-500082</t>
  </si>
  <si>
    <t>DBK-CMP-100083</t>
  </si>
  <si>
    <t>DBK-CUS-500083</t>
  </si>
  <si>
    <t>DBK-CMP-100084</t>
  </si>
  <si>
    <t>DBK-CUS-500084</t>
  </si>
  <si>
    <t>DBK-CMP-100085</t>
  </si>
  <si>
    <t>DBK-CUS-500085</t>
  </si>
  <si>
    <t>DBK-CMP-100086</t>
  </si>
  <si>
    <t>DBK-CUS-500086</t>
  </si>
  <si>
    <t>DBK-CMP-100087</t>
  </si>
  <si>
    <t>DBK-CUS-500087</t>
  </si>
  <si>
    <t>DBK-CMP-100088</t>
  </si>
  <si>
    <t>DBK-CUS-500088</t>
  </si>
  <si>
    <t>DBK-CMP-100089</t>
  </si>
  <si>
    <t>DBK-CUS-500089</t>
  </si>
  <si>
    <t>DBK-CMP-100090</t>
  </si>
  <si>
    <t>DBK-CUS-500090</t>
  </si>
  <si>
    <t>DBK-CMP-100091</t>
  </si>
  <si>
    <t>DBK-CUS-500091</t>
  </si>
  <si>
    <t>DBK-CMP-100092</t>
  </si>
  <si>
    <t>DBK-CUS-500092</t>
  </si>
  <si>
    <t>DBK-CMP-100093</t>
  </si>
  <si>
    <t>DBK-CUS-500093</t>
  </si>
  <si>
    <t>DBK-CMP-100094</t>
  </si>
  <si>
    <t>DBK-CUS-500094</t>
  </si>
  <si>
    <t>DBK-CMP-100095</t>
  </si>
  <si>
    <t>DBK-CUS-500095</t>
  </si>
  <si>
    <t>DBK-CMP-100096</t>
  </si>
  <si>
    <t>DBK-CUS-500096</t>
  </si>
  <si>
    <t>DBK-CMP-100097</t>
  </si>
  <si>
    <t>DBK-CUS-500097</t>
  </si>
  <si>
    <t>DBK-CMP-100098</t>
  </si>
  <si>
    <t>DBK-CUS-500098</t>
  </si>
  <si>
    <t>DBK-CMP-100099</t>
  </si>
  <si>
    <t>DBK-CUS-500099</t>
  </si>
  <si>
    <t>DBK-CMP-100100</t>
  </si>
  <si>
    <t>DBK-CUS-500100</t>
  </si>
  <si>
    <t>DBK-CMP-100101</t>
  </si>
  <si>
    <t>DBK-CUS-500101</t>
  </si>
  <si>
    <t>DBK-CMP-100102</t>
  </si>
  <si>
    <t>DBK-CUS-500102</t>
  </si>
  <si>
    <t>DBK-CMP-100103</t>
  </si>
  <si>
    <t>DBK-CUS-500103</t>
  </si>
  <si>
    <t>DBK-CMP-100104</t>
  </si>
  <si>
    <t>DBK-CUS-500104</t>
  </si>
  <si>
    <t>DBK-CMP-100105</t>
  </si>
  <si>
    <t>DBK-CUS-500105</t>
  </si>
  <si>
    <t>DBK-CMP-100106</t>
  </si>
  <si>
    <t>DBK-CUS-500106</t>
  </si>
  <si>
    <t>DBK-CMP-100107</t>
  </si>
  <si>
    <t>DBK-CUS-500107</t>
  </si>
  <si>
    <t>DBK-CMP-100108</t>
  </si>
  <si>
    <t>DBK-CUS-500108</t>
  </si>
  <si>
    <t>DBK-CMP-100109</t>
  </si>
  <si>
    <t>DBK-CUS-500109</t>
  </si>
  <si>
    <t>DBK-CMP-100110</t>
  </si>
  <si>
    <t>DBK-CUS-500110</t>
  </si>
  <si>
    <t>DBK-CMP-100111</t>
  </si>
  <si>
    <t>DBK-CUS-500111</t>
  </si>
  <si>
    <t>DBK-CMP-100112</t>
  </si>
  <si>
    <t>DBK-CUS-500112</t>
  </si>
  <si>
    <t>DBK-CMP-100113</t>
  </si>
  <si>
    <t>DBK-CUS-500113</t>
  </si>
  <si>
    <t>DBK-CMP-100114</t>
  </si>
  <si>
    <t>DBK-CUS-500114</t>
  </si>
  <si>
    <t>DBK-CMP-100115</t>
  </si>
  <si>
    <t>DBK-CUS-500115</t>
  </si>
  <si>
    <t>DBK-CMP-100116</t>
  </si>
  <si>
    <t>DBK-CUS-500116</t>
  </si>
  <si>
    <t>DBK-CMP-100117</t>
  </si>
  <si>
    <t>DBK-CUS-500117</t>
  </si>
  <si>
    <t>DBK-CMP-100118</t>
  </si>
  <si>
    <t>DBK-CUS-500118</t>
  </si>
  <si>
    <t>DBK-CMP-100119</t>
  </si>
  <si>
    <t>DBK-CUS-500119</t>
  </si>
  <si>
    <t>DBK-CMP-100120</t>
  </si>
  <si>
    <t>DBK-CUS-500120</t>
  </si>
  <si>
    <t>DBK-CMP-100121</t>
  </si>
  <si>
    <t>DBK-CUS-500121</t>
  </si>
  <si>
    <t>DBK-CMP-100122</t>
  </si>
  <si>
    <t>DBK-CUS-500122</t>
  </si>
  <si>
    <t>DBK-CMP-100123</t>
  </si>
  <si>
    <t>DBK-CUS-500123</t>
  </si>
  <si>
    <t>DBK-CMP-100124</t>
  </si>
  <si>
    <t>DBK-CUS-500124</t>
  </si>
  <si>
    <t>DBK-CMP-100125</t>
  </si>
  <si>
    <t>DBK-CUS-500125</t>
  </si>
  <si>
    <t>DBK-CMP-100126</t>
  </si>
  <si>
    <t>DBK-CUS-500126</t>
  </si>
  <si>
    <t>DBK-CMP-100127</t>
  </si>
  <si>
    <t>DBK-CUS-500127</t>
  </si>
  <si>
    <t>DBK-CMP-100128</t>
  </si>
  <si>
    <t>DBK-CUS-500128</t>
  </si>
  <si>
    <t>DBK-CMP-100129</t>
  </si>
  <si>
    <t>DBK-CUS-500129</t>
  </si>
  <si>
    <t>DBK-CMP-100130</t>
  </si>
  <si>
    <t>DBK-CUS-500130</t>
  </si>
  <si>
    <t>DBK-CMP-100131</t>
  </si>
  <si>
    <t>DBK-CUS-500131</t>
  </si>
  <si>
    <t>DBK-CMP-100132</t>
  </si>
  <si>
    <t>DBK-CUS-500132</t>
  </si>
  <si>
    <t>DBK-CMP-100133</t>
  </si>
  <si>
    <t>DBK-CUS-500133</t>
  </si>
  <si>
    <t>DBK-CMP-100134</t>
  </si>
  <si>
    <t>DBK-CUS-500134</t>
  </si>
  <si>
    <t>DBK-CMP-100135</t>
  </si>
  <si>
    <t>DBK-CUS-500135</t>
  </si>
  <si>
    <t>DBK-CMP-100136</t>
  </si>
  <si>
    <t>DBK-CUS-500136</t>
  </si>
  <si>
    <t>DBK-CMP-100137</t>
  </si>
  <si>
    <t>DBK-CUS-500137</t>
  </si>
  <si>
    <t>DBK-CMP-100138</t>
  </si>
  <si>
    <t>DBK-CUS-500138</t>
  </si>
  <si>
    <t>DBK-CMP-100139</t>
  </si>
  <si>
    <t>DBK-CUS-500139</t>
  </si>
  <si>
    <t>DBK-CMP-100140</t>
  </si>
  <si>
    <t>DBK-CUS-500140</t>
  </si>
  <si>
    <t>DBK-CMP-100141</t>
  </si>
  <si>
    <t>DBK-CUS-500141</t>
  </si>
  <si>
    <t>DBK-CMP-100142</t>
  </si>
  <si>
    <t>DBK-CUS-500142</t>
  </si>
  <si>
    <t>DBK-CMP-100143</t>
  </si>
  <si>
    <t>DBK-CUS-500143</t>
  </si>
  <si>
    <t>DBK-CMP-100144</t>
  </si>
  <si>
    <t>DBK-CUS-500144</t>
  </si>
  <si>
    <t>DBK-CMP-100145</t>
  </si>
  <si>
    <t>DBK-CUS-500145</t>
  </si>
  <si>
    <t>DBK-CMP-100146</t>
  </si>
  <si>
    <t>DBK-CUS-500146</t>
  </si>
  <si>
    <t>DBK-CMP-100147</t>
  </si>
  <si>
    <t>DBK-CUS-500147</t>
  </si>
  <si>
    <t>DBK-CMP-100148</t>
  </si>
  <si>
    <t>DBK-CUS-500148</t>
  </si>
  <si>
    <t>DBK-CMP-100149</t>
  </si>
  <si>
    <t>DBK-CUS-500149</t>
  </si>
  <si>
    <t>DBK-CMP-100150</t>
  </si>
  <si>
    <t>DBK-CUS-500150</t>
  </si>
  <si>
    <t>DBK-CMP-100151</t>
  </si>
  <si>
    <t>DBK-CUS-500151</t>
  </si>
  <si>
    <t>DBK-CMP-100152</t>
  </si>
  <si>
    <t>DBK-CUS-500152</t>
  </si>
  <si>
    <t>DBK-CMP-100153</t>
  </si>
  <si>
    <t>DBK-CUS-500153</t>
  </si>
  <si>
    <t>DBK-CMP-100154</t>
  </si>
  <si>
    <t>DBK-CUS-500154</t>
  </si>
  <si>
    <t>DBK-CMP-100155</t>
  </si>
  <si>
    <t>DBK-CUS-500155</t>
  </si>
  <si>
    <t>DBK-CMP-100156</t>
  </si>
  <si>
    <t>DBK-CUS-500156</t>
  </si>
  <si>
    <t>DBK-CMP-100157</t>
  </si>
  <si>
    <t>DBK-CUS-500157</t>
  </si>
  <si>
    <t>DBK-CMP-100158</t>
  </si>
  <si>
    <t>DBK-CUS-500158</t>
  </si>
  <si>
    <t>DBK-CMP-100159</t>
  </si>
  <si>
    <t>DBK-CUS-500159</t>
  </si>
  <si>
    <t>DBK-CMP-100160</t>
  </si>
  <si>
    <t>DBK-CUS-500160</t>
  </si>
  <si>
    <t>DBK-CMP-100161</t>
  </si>
  <si>
    <t>DBK-CUS-500161</t>
  </si>
  <si>
    <t>DBK-CMP-100162</t>
  </si>
  <si>
    <t>DBK-CUS-500162</t>
  </si>
  <si>
    <t>DBK-CMP-100163</t>
  </si>
  <si>
    <t>DBK-CUS-500163</t>
  </si>
  <si>
    <t>DBK-CMP-100164</t>
  </si>
  <si>
    <t>DBK-CUS-500164</t>
  </si>
  <si>
    <t>DBK-CMP-100165</t>
  </si>
  <si>
    <t>DBK-CUS-500165</t>
  </si>
  <si>
    <t>DBK-CMP-100166</t>
  </si>
  <si>
    <t>DBK-CUS-500166</t>
  </si>
  <si>
    <t>DBK-CMP-100167</t>
  </si>
  <si>
    <t>DBK-CUS-500167</t>
  </si>
  <si>
    <t>DBK-CMP-100168</t>
  </si>
  <si>
    <t>DBK-CUS-500168</t>
  </si>
  <si>
    <t>DBK-CMP-100169</t>
  </si>
  <si>
    <t>DBK-CUS-500169</t>
  </si>
  <si>
    <t>DBK-CMP-100170</t>
  </si>
  <si>
    <t>DBK-CUS-500170</t>
  </si>
  <si>
    <t>DBK-CMP-100171</t>
  </si>
  <si>
    <t>DBK-CUS-500171</t>
  </si>
  <si>
    <t>DBK-CMP-100172</t>
  </si>
  <si>
    <t>DBK-CUS-500172</t>
  </si>
  <si>
    <t>DBK-CMP-100173</t>
  </si>
  <si>
    <t>DBK-CUS-500173</t>
  </si>
  <si>
    <t>DBK-CMP-100174</t>
  </si>
  <si>
    <t>DBK-CUS-500174</t>
  </si>
  <si>
    <t>DBK-CMP-100175</t>
  </si>
  <si>
    <t>DBK-CUS-500175</t>
  </si>
  <si>
    <t>DBK-CMP-100176</t>
  </si>
  <si>
    <t>DBK-CUS-500176</t>
  </si>
  <si>
    <t>DBK-CMP-100177</t>
  </si>
  <si>
    <t>DBK-CUS-500177</t>
  </si>
  <si>
    <t>DBK-CMP-100178</t>
  </si>
  <si>
    <t>DBK-CUS-500178</t>
  </si>
  <si>
    <t>DBK-CMP-100179</t>
  </si>
  <si>
    <t>DBK-CUS-500179</t>
  </si>
  <si>
    <t>DBK-CMP-100180</t>
  </si>
  <si>
    <t>DBK-CUS-500180</t>
  </si>
  <si>
    <t>DBK-CMP-100181</t>
  </si>
  <si>
    <t>DBK-CUS-500181</t>
  </si>
  <si>
    <t>DBK-CMP-100182</t>
  </si>
  <si>
    <t>DBK-CUS-500182</t>
  </si>
  <si>
    <t>DBK-CMP-100183</t>
  </si>
  <si>
    <t>DBK-CUS-500183</t>
  </si>
  <si>
    <t>DBK-CMP-100184</t>
  </si>
  <si>
    <t>DBK-CUS-500184</t>
  </si>
  <si>
    <t>DBK-CMP-100185</t>
  </si>
  <si>
    <t>DBK-CUS-500185</t>
  </si>
  <si>
    <t>DBK-CMP-100186</t>
  </si>
  <si>
    <t>DBK-CUS-500186</t>
  </si>
  <si>
    <t>DBK-CMP-100187</t>
  </si>
  <si>
    <t>DBK-CUS-500187</t>
  </si>
  <si>
    <t>DBK-CMP-100188</t>
  </si>
  <si>
    <t>DBK-CUS-500188</t>
  </si>
  <si>
    <t>DBK-CMP-100189</t>
  </si>
  <si>
    <t>DBK-CUS-500189</t>
  </si>
  <si>
    <t>DBK-CMP-100190</t>
  </si>
  <si>
    <t>DBK-CUS-500190</t>
  </si>
  <si>
    <t>DBK-CMP-100191</t>
  </si>
  <si>
    <t>DBK-CUS-500191</t>
  </si>
  <si>
    <t>DBK-CMP-100192</t>
  </si>
  <si>
    <t>DBK-CUS-500192</t>
  </si>
  <si>
    <t>DBK-CMP-100193</t>
  </si>
  <si>
    <t>DBK-CUS-500193</t>
  </si>
  <si>
    <t>DBK-CMP-100194</t>
  </si>
  <si>
    <t>DBK-CUS-500194</t>
  </si>
  <si>
    <t>DBK-CMP-100195</t>
  </si>
  <si>
    <t>DBK-CUS-500195</t>
  </si>
  <si>
    <t>DBK-CMP-100196</t>
  </si>
  <si>
    <t>DBK-CUS-500196</t>
  </si>
  <si>
    <t>DBK-CMP-100197</t>
  </si>
  <si>
    <t>DBK-CUS-500197</t>
  </si>
  <si>
    <t>DBK-CMP-100198</t>
  </si>
  <si>
    <t>DBK-CUS-500198</t>
  </si>
  <si>
    <t>DBK-CMP-100199</t>
  </si>
  <si>
    <t>DBK-CUS-500199</t>
  </si>
  <si>
    <t>DBK-CMP-100200</t>
  </si>
  <si>
    <t>DBK-CUS-500200</t>
  </si>
  <si>
    <t>DBK-CMP-100201</t>
  </si>
  <si>
    <t>DBK-CUS-500201</t>
  </si>
  <si>
    <t>DBK-CMP-100202</t>
  </si>
  <si>
    <t>DBK-CUS-500202</t>
  </si>
  <si>
    <t>DBK-CMP-100203</t>
  </si>
  <si>
    <t>DBK-CUS-500203</t>
  </si>
  <si>
    <t>DBK-CMP-100204</t>
  </si>
  <si>
    <t>DBK-CUS-500204</t>
  </si>
  <si>
    <t>DBK-CMP-100205</t>
  </si>
  <si>
    <t>DBK-CUS-500205</t>
  </si>
  <si>
    <t>DBK-CMP-100206</t>
  </si>
  <si>
    <t>DBK-CUS-500206</t>
  </si>
  <si>
    <t>DBK-CMP-100207</t>
  </si>
  <si>
    <t>DBK-CUS-500207</t>
  </si>
  <si>
    <t>DBK-CMP-100208</t>
  </si>
  <si>
    <t>DBK-CUS-500208</t>
  </si>
  <si>
    <t>DBK-CMP-100209</t>
  </si>
  <si>
    <t>DBK-CUS-500209</t>
  </si>
  <si>
    <t>DBK-CMP-100210</t>
  </si>
  <si>
    <t>DBK-CUS-500210</t>
  </si>
  <si>
    <t>DBK-CMP-100211</t>
  </si>
  <si>
    <t>DBK-CUS-500211</t>
  </si>
  <si>
    <t>DBK-CMP-100212</t>
  </si>
  <si>
    <t>DBK-CUS-500212</t>
  </si>
  <si>
    <t>DBK-CMP-100213</t>
  </si>
  <si>
    <t>DBK-CUS-500213</t>
  </si>
  <si>
    <t>DBK-CMP-100214</t>
  </si>
  <si>
    <t>DBK-CUS-500214</t>
  </si>
  <si>
    <t>DBK-CMP-100215</t>
  </si>
  <si>
    <t>DBK-CUS-500215</t>
  </si>
  <si>
    <t>DBK-CMP-100216</t>
  </si>
  <si>
    <t>DBK-CUS-500216</t>
  </si>
  <si>
    <t>DBK-CMP-100217</t>
  </si>
  <si>
    <t>DBK-CUS-500217</t>
  </si>
  <si>
    <t>DBK-CMP-100218</t>
  </si>
  <si>
    <t>DBK-CUS-500218</t>
  </si>
  <si>
    <t>DBK-CMP-100219</t>
  </si>
  <si>
    <t>DBK-CUS-500219</t>
  </si>
  <si>
    <t>DBK-CMP-100220</t>
  </si>
  <si>
    <t>DBK-CUS-500220</t>
  </si>
  <si>
    <t>DBK-CMP-100221</t>
  </si>
  <si>
    <t>DBK-CUS-500221</t>
  </si>
  <si>
    <t>DBK-CMP-100222</t>
  </si>
  <si>
    <t>DBK-CUS-500222</t>
  </si>
  <si>
    <t>DBK-CMP-100223</t>
  </si>
  <si>
    <t>DBK-CUS-500223</t>
  </si>
  <si>
    <t>DBK-CMP-100224</t>
  </si>
  <si>
    <t>DBK-CUS-500224</t>
  </si>
  <si>
    <t>DBK-CMP-100225</t>
  </si>
  <si>
    <t>DBK-CUS-500225</t>
  </si>
  <si>
    <t>DBK-CMP-100226</t>
  </si>
  <si>
    <t>DBK-CUS-500226</t>
  </si>
  <si>
    <t>DBK-CMP-100227</t>
  </si>
  <si>
    <t>DBK-CUS-500227</t>
  </si>
  <si>
    <t>DBK-CMP-100228</t>
  </si>
  <si>
    <t>DBK-CUS-500228</t>
  </si>
  <si>
    <t>DBK-CMP-100229</t>
  </si>
  <si>
    <t>DBK-CUS-500229</t>
  </si>
  <si>
    <t>DBK-CMP-100230</t>
  </si>
  <si>
    <t>DBK-CUS-500230</t>
  </si>
  <si>
    <t>DBK-CMP-100231</t>
  </si>
  <si>
    <t>DBK-CUS-500231</t>
  </si>
  <si>
    <t>DBK-CMP-100232</t>
  </si>
  <si>
    <t>DBK-CUS-500232</t>
  </si>
  <si>
    <t>DBK-CMP-100233</t>
  </si>
  <si>
    <t>DBK-CUS-500233</t>
  </si>
  <si>
    <t>DBK-CMP-100234</t>
  </si>
  <si>
    <t>DBK-CUS-500234</t>
  </si>
  <si>
    <t>DBK-CMP-100235</t>
  </si>
  <si>
    <t>DBK-CUS-500235</t>
  </si>
  <si>
    <t>DBK-CMP-100236</t>
  </si>
  <si>
    <t>DBK-CUS-500236</t>
  </si>
  <si>
    <t>DBK-CMP-100237</t>
  </si>
  <si>
    <t>DBK-CUS-500237</t>
  </si>
  <si>
    <t>DBK-CMP-100238</t>
  </si>
  <si>
    <t>DBK-CUS-500238</t>
  </si>
  <si>
    <t>DBK-CMP-100239</t>
  </si>
  <si>
    <t>DBK-CUS-500239</t>
  </si>
  <si>
    <t>DBK-CMP-100240</t>
  </si>
  <si>
    <t>DBK-CUS-500240</t>
  </si>
  <si>
    <t>DBK-CMP-100241</t>
  </si>
  <si>
    <t>DBK-CUS-500241</t>
  </si>
  <si>
    <t>DBK-CMP-100242</t>
  </si>
  <si>
    <t>DBK-CUS-500242</t>
  </si>
  <si>
    <t>DBK-CMP-100243</t>
  </si>
  <si>
    <t>DBK-CUS-500243</t>
  </si>
  <si>
    <t>DBK-CMP-100244</t>
  </si>
  <si>
    <t>DBK-CUS-500244</t>
  </si>
  <si>
    <t>DBK-CMP-100245</t>
  </si>
  <si>
    <t>DBK-CUS-500245</t>
  </si>
  <si>
    <t>DBK-CMP-100246</t>
  </si>
  <si>
    <t>DBK-CUS-500246</t>
  </si>
  <si>
    <t>DBK-CMP-100247</t>
  </si>
  <si>
    <t>DBK-CUS-500247</t>
  </si>
  <si>
    <t>DBK-CMP-100248</t>
  </si>
  <si>
    <t>DBK-CUS-500248</t>
  </si>
  <si>
    <t>DBK-CMP-100249</t>
  </si>
  <si>
    <t>DBK-CUS-500249</t>
  </si>
  <si>
    <t>DBK-CMP-100250</t>
  </si>
  <si>
    <t>DBK-CUS-500250</t>
  </si>
  <si>
    <t>DBK-CMP-100251</t>
  </si>
  <si>
    <t>DBK-CUS-500251</t>
  </si>
  <si>
    <t>DBK-CMP-100252</t>
  </si>
  <si>
    <t>DBK-CUS-500252</t>
  </si>
  <si>
    <t>DBK-CMP-100253</t>
  </si>
  <si>
    <t>DBK-CUS-500253</t>
  </si>
  <si>
    <t>DBK-CMP-100254</t>
  </si>
  <si>
    <t>DBK-CUS-500254</t>
  </si>
  <si>
    <t>DBK-CMP-100255</t>
  </si>
  <si>
    <t>DBK-CUS-500255</t>
  </si>
  <si>
    <t>DBK-CMP-100256</t>
  </si>
  <si>
    <t>DBK-CUS-500256</t>
  </si>
  <si>
    <t>DBK-CMP-100257</t>
  </si>
  <si>
    <t>DBK-CUS-500257</t>
  </si>
  <si>
    <t>DBK-CMP-100258</t>
  </si>
  <si>
    <t>DBK-CUS-500258</t>
  </si>
  <si>
    <t>DBK-CMP-100259</t>
  </si>
  <si>
    <t>DBK-CUS-500259</t>
  </si>
  <si>
    <t>DBK-CMP-100260</t>
  </si>
  <si>
    <t>DBK-CUS-500260</t>
  </si>
  <si>
    <t>DBK-CMP-100261</t>
  </si>
  <si>
    <t>DBK-CUS-500261</t>
  </si>
  <si>
    <t>DBK-CMP-100262</t>
  </si>
  <si>
    <t>DBK-CUS-500262</t>
  </si>
  <si>
    <t>DBK-CMP-100263</t>
  </si>
  <si>
    <t>DBK-CUS-500263</t>
  </si>
  <si>
    <t>DBK-CMP-100264</t>
  </si>
  <si>
    <t>DBK-CUS-500264</t>
  </si>
  <si>
    <t>DBK-CMP-100265</t>
  </si>
  <si>
    <t>DBK-CUS-500265</t>
  </si>
  <si>
    <t>DBK-CMP-100266</t>
  </si>
  <si>
    <t>DBK-CUS-500266</t>
  </si>
  <si>
    <t>DBK-CMP-100267</t>
  </si>
  <si>
    <t>DBK-CUS-500267</t>
  </si>
  <si>
    <t>DBK-CMP-100268</t>
  </si>
  <si>
    <t>DBK-CUS-500268</t>
  </si>
  <si>
    <t>DBK-CMP-100269</t>
  </si>
  <si>
    <t>DBK-CUS-500269</t>
  </si>
  <si>
    <t>DBK-CMP-100270</t>
  </si>
  <si>
    <t>DBK-CUS-500270</t>
  </si>
  <si>
    <t>DBK-CMP-100271</t>
  </si>
  <si>
    <t>DBK-CUS-500271</t>
  </si>
  <si>
    <t>DBK-CMP-100272</t>
  </si>
  <si>
    <t>DBK-CUS-500272</t>
  </si>
  <si>
    <t>DBK-CMP-100273</t>
  </si>
  <si>
    <t>DBK-CUS-500273</t>
  </si>
  <si>
    <t>DBK-CMP-100274</t>
  </si>
  <si>
    <t>DBK-CUS-500274</t>
  </si>
  <si>
    <t>DBK-CMP-100275</t>
  </si>
  <si>
    <t>DBK-CUS-500275</t>
  </si>
  <si>
    <t>DBK-CMP-100276</t>
  </si>
  <si>
    <t>DBK-CUS-500276</t>
  </si>
  <si>
    <t>DBK-CMP-100277</t>
  </si>
  <si>
    <t>DBK-CUS-500277</t>
  </si>
  <si>
    <t>DBK-CMP-100278</t>
  </si>
  <si>
    <t>DBK-CUS-500278</t>
  </si>
  <si>
    <t>DBK-CMP-100279</t>
  </si>
  <si>
    <t>DBK-CUS-500279</t>
  </si>
  <si>
    <t>DBK-CMP-100280</t>
  </si>
  <si>
    <t>DBK-CUS-500280</t>
  </si>
  <si>
    <t>DBK-CMP-100281</t>
  </si>
  <si>
    <t>DBK-CUS-500281</t>
  </si>
  <si>
    <t>DBK-CMP-100282</t>
  </si>
  <si>
    <t>DBK-CUS-500282</t>
  </si>
  <si>
    <t>DBK-CMP-100283</t>
  </si>
  <si>
    <t>DBK-CUS-500283</t>
  </si>
  <si>
    <t>DBK-CMP-100284</t>
  </si>
  <si>
    <t>DBK-CUS-500284</t>
  </si>
  <si>
    <t>DBK-CMP-100285</t>
  </si>
  <si>
    <t>DBK-CUS-500285</t>
  </si>
  <si>
    <t>DBK-CMP-100286</t>
  </si>
  <si>
    <t>DBK-CUS-500286</t>
  </si>
  <si>
    <t>DBK-CMP-100287</t>
  </si>
  <si>
    <t>DBK-CUS-500287</t>
  </si>
  <si>
    <t>DBK-CMP-100288</t>
  </si>
  <si>
    <t>DBK-CUS-500288</t>
  </si>
  <si>
    <t>DBK-CMP-100289</t>
  </si>
  <si>
    <t>DBK-CUS-500289</t>
  </si>
  <si>
    <t>DBK-CMP-100290</t>
  </si>
  <si>
    <t>DBK-CUS-500290</t>
  </si>
  <si>
    <t>DBK-CMP-100291</t>
  </si>
  <si>
    <t>DBK-CUS-500291</t>
  </si>
  <si>
    <t>DBK-CMP-100292</t>
  </si>
  <si>
    <t>DBK-CUS-500292</t>
  </si>
  <si>
    <t>DBK-CMP-100293</t>
  </si>
  <si>
    <t>DBK-CUS-500293</t>
  </si>
  <si>
    <t>DBK-CMP-100294</t>
  </si>
  <si>
    <t>DBK-CUS-500294</t>
  </si>
  <si>
    <t>DBK-CMP-100295</t>
  </si>
  <si>
    <t>DBK-CUS-500295</t>
  </si>
  <si>
    <t>DBK-CMP-100296</t>
  </si>
  <si>
    <t>DBK-CUS-500296</t>
  </si>
  <si>
    <t>DBK-CMP-100297</t>
  </si>
  <si>
    <t>DBK-CUS-500297</t>
  </si>
  <si>
    <t>DBK-CMP-100298</t>
  </si>
  <si>
    <t>DBK-CUS-500298</t>
  </si>
  <si>
    <t>DBK-CMP-100299</t>
  </si>
  <si>
    <t>DBK-CUS-500299</t>
  </si>
  <si>
    <t>DBK-CMP-100300</t>
  </si>
  <si>
    <t>DBK-CUS-500300</t>
  </si>
  <si>
    <t>DBK-CMP-100301</t>
  </si>
  <si>
    <t>DBK-CUS-500301</t>
  </si>
  <si>
    <t>DBK-CMP-100302</t>
  </si>
  <si>
    <t>DBK-CUS-500302</t>
  </si>
  <si>
    <t>DBK-CMP-100303</t>
  </si>
  <si>
    <t>DBK-CUS-500303</t>
  </si>
  <si>
    <t>DBK-CMP-100304</t>
  </si>
  <si>
    <t>DBK-CUS-500304</t>
  </si>
  <si>
    <t>DBK-CMP-100305</t>
  </si>
  <si>
    <t>DBK-CUS-500305</t>
  </si>
  <si>
    <t>DBK-CMP-100306</t>
  </si>
  <si>
    <t>DBK-CUS-500306</t>
  </si>
  <si>
    <t>DBK-CMP-100307</t>
  </si>
  <si>
    <t>DBK-CUS-500307</t>
  </si>
  <si>
    <t>DBK-CMP-100308</t>
  </si>
  <si>
    <t>DBK-CUS-500308</t>
  </si>
  <si>
    <t>DBK-CMP-100309</t>
  </si>
  <si>
    <t>DBK-CUS-500309</t>
  </si>
  <si>
    <t>DBK-CMP-100310</t>
  </si>
  <si>
    <t>DBK-CUS-500310</t>
  </si>
  <si>
    <t>DBK-CMP-100311</t>
  </si>
  <si>
    <t>DBK-CUS-500311</t>
  </si>
  <si>
    <t>DBK-CMP-100312</t>
  </si>
  <si>
    <t>DBK-CUS-500312</t>
  </si>
  <si>
    <t>DBK-CMP-100313</t>
  </si>
  <si>
    <t>DBK-CUS-500313</t>
  </si>
  <si>
    <t>DBK-CMP-100314</t>
  </si>
  <si>
    <t>DBK-CUS-500314</t>
  </si>
  <si>
    <t>DBK-CMP-100315</t>
  </si>
  <si>
    <t>DBK-CUS-500315</t>
  </si>
  <si>
    <t>DBK-CMP-100316</t>
  </si>
  <si>
    <t>DBK-CUS-500316</t>
  </si>
  <si>
    <t>DBK-CMP-100317</t>
  </si>
  <si>
    <t>DBK-CUS-500317</t>
  </si>
  <si>
    <t>DBK-CMP-100318</t>
  </si>
  <si>
    <t>DBK-CUS-500318</t>
  </si>
  <si>
    <t>DBK-CMP-100319</t>
  </si>
  <si>
    <t>DBK-CUS-500319</t>
  </si>
  <si>
    <t>DBK-CMP-100320</t>
  </si>
  <si>
    <t>DBK-CUS-500320</t>
  </si>
  <si>
    <t>DBK-CMP-100321</t>
  </si>
  <si>
    <t>DBK-CUS-500321</t>
  </si>
  <si>
    <t>DBK-CMP-100322</t>
  </si>
  <si>
    <t>DBK-CUS-500322</t>
  </si>
  <si>
    <t>DBK-CMP-100323</t>
  </si>
  <si>
    <t>DBK-CUS-500323</t>
  </si>
  <si>
    <t>DBK-CMP-100324</t>
  </si>
  <si>
    <t>DBK-CUS-500324</t>
  </si>
  <si>
    <t>DBK-CMP-100325</t>
  </si>
  <si>
    <t>DBK-CUS-500325</t>
  </si>
  <si>
    <t>DBK-CMP-100326</t>
  </si>
  <si>
    <t>DBK-CUS-500326</t>
  </si>
  <si>
    <t>DBK-CMP-100327</t>
  </si>
  <si>
    <t>DBK-CUS-500327</t>
  </si>
  <si>
    <t>DBK-CMP-100328</t>
  </si>
  <si>
    <t>DBK-CUS-500328</t>
  </si>
  <si>
    <t>DBK-CMP-100329</t>
  </si>
  <si>
    <t>DBK-CUS-500329</t>
  </si>
  <si>
    <t>DBK-CMP-100330</t>
  </si>
  <si>
    <t>DBK-CUS-500330</t>
  </si>
  <si>
    <t>DBK-CMP-100331</t>
  </si>
  <si>
    <t>DBK-CUS-500331</t>
  </si>
  <si>
    <t>DBK-CMP-100332</t>
  </si>
  <si>
    <t>DBK-CUS-500332</t>
  </si>
  <si>
    <t>DBK-CMP-100333</t>
  </si>
  <si>
    <t>DBK-CUS-500333</t>
  </si>
  <si>
    <t>DBK-CMP-100334</t>
  </si>
  <si>
    <t>DBK-CUS-500334</t>
  </si>
  <si>
    <t>DBK-CMP-100335</t>
  </si>
  <si>
    <t>DBK-CUS-500335</t>
  </si>
  <si>
    <t>DBK-CMP-100336</t>
  </si>
  <si>
    <t>DBK-CUS-500336</t>
  </si>
  <si>
    <t>DBK-CMP-100337</t>
  </si>
  <si>
    <t>DBK-CUS-500337</t>
  </si>
  <si>
    <t>DBK-CMP-100338</t>
  </si>
  <si>
    <t>DBK-CUS-500338</t>
  </si>
  <si>
    <t>DBK-CMP-100339</t>
  </si>
  <si>
    <t>DBK-CUS-500339</t>
  </si>
  <si>
    <t>DBK-CMP-100340</t>
  </si>
  <si>
    <t>DBK-CUS-500340</t>
  </si>
  <si>
    <t>DBK-CMP-100341</t>
  </si>
  <si>
    <t>DBK-CUS-500341</t>
  </si>
  <si>
    <t>DBK-CMP-100342</t>
  </si>
  <si>
    <t>DBK-CUS-500342</t>
  </si>
  <si>
    <t>DBK-CMP-100343</t>
  </si>
  <si>
    <t>DBK-CUS-500343</t>
  </si>
  <si>
    <t>DBK-CMP-100344</t>
  </si>
  <si>
    <t>DBK-CUS-500344</t>
  </si>
  <si>
    <t>DBK-CMP-100345</t>
  </si>
  <si>
    <t>DBK-CUS-500345</t>
  </si>
  <si>
    <t>DBK-CMP-100346</t>
  </si>
  <si>
    <t>DBK-CUS-500346</t>
  </si>
  <si>
    <t>DBK-CMP-100347</t>
  </si>
  <si>
    <t>DBK-CUS-500347</t>
  </si>
  <si>
    <t>DBK-CMP-100348</t>
  </si>
  <si>
    <t>DBK-CUS-500348</t>
  </si>
  <si>
    <t>DBK-CMP-100349</t>
  </si>
  <si>
    <t>DBK-CUS-500349</t>
  </si>
  <si>
    <t>DBK-CMP-100350</t>
  </si>
  <si>
    <t>DBK-CUS-500350</t>
  </si>
  <si>
    <t>DBK-CMP-100351</t>
  </si>
  <si>
    <t>DBK-CUS-500351</t>
  </si>
  <si>
    <t>DBK-CMP-100352</t>
  </si>
  <si>
    <t>DBK-CUS-500352</t>
  </si>
  <si>
    <t>DBK-CMP-100353</t>
  </si>
  <si>
    <t>DBK-CUS-500353</t>
  </si>
  <si>
    <t>DBK-CMP-100354</t>
  </si>
  <si>
    <t>DBK-CUS-500354</t>
  </si>
  <si>
    <t>DBK-CMP-100355</t>
  </si>
  <si>
    <t>DBK-CUS-500355</t>
  </si>
  <si>
    <t>DBK-CMP-100356</t>
  </si>
  <si>
    <t>DBK-CUS-500356</t>
  </si>
  <si>
    <t>DBK-CMP-100357</t>
  </si>
  <si>
    <t>DBK-CUS-500357</t>
  </si>
  <si>
    <t>DBK-CMP-100358</t>
  </si>
  <si>
    <t>DBK-CUS-500358</t>
  </si>
  <si>
    <t>DBK-CMP-100359</t>
  </si>
  <si>
    <t>DBK-CUS-500359</t>
  </si>
  <si>
    <t>DBK-CMP-100360</t>
  </si>
  <si>
    <t>DBK-CUS-500360</t>
  </si>
  <si>
    <t>DBK-CMP-100361</t>
  </si>
  <si>
    <t>DBK-CUS-500361</t>
  </si>
  <si>
    <t>DBK-CMP-100362</t>
  </si>
  <si>
    <t>DBK-CUS-500362</t>
  </si>
  <si>
    <t>DBK-CMP-100363</t>
  </si>
  <si>
    <t>DBK-CUS-500363</t>
  </si>
  <si>
    <t>DBK-CMP-100364</t>
  </si>
  <si>
    <t>DBK-CUS-500364</t>
  </si>
  <si>
    <t>DBK-CMP-100365</t>
  </si>
  <si>
    <t>DBK-CUS-500365</t>
  </si>
  <si>
    <t>DBK-CMP-100366</t>
  </si>
  <si>
    <t>DBK-CUS-500366</t>
  </si>
  <si>
    <t>DBK-CMP-100367</t>
  </si>
  <si>
    <t>DBK-CUS-500367</t>
  </si>
  <si>
    <t>DBK-CMP-100368</t>
  </si>
  <si>
    <t>DBK-CUS-500368</t>
  </si>
  <si>
    <t>DBK-CMP-100369</t>
  </si>
  <si>
    <t>DBK-CUS-500369</t>
  </si>
  <si>
    <t>DBK-CMP-100370</t>
  </si>
  <si>
    <t>DBK-CUS-500370</t>
  </si>
  <si>
    <t>DBK-CMP-100371</t>
  </si>
  <si>
    <t>DBK-CUS-500371</t>
  </si>
  <si>
    <t>DBK-CMP-100372</t>
  </si>
  <si>
    <t>DBK-CUS-500372</t>
  </si>
  <si>
    <t>DBK-CMP-100373</t>
  </si>
  <si>
    <t>DBK-CUS-500373</t>
  </si>
  <si>
    <t>DBK-CMP-100374</t>
  </si>
  <si>
    <t>DBK-CUS-500374</t>
  </si>
  <si>
    <t>DBK-CMP-100375</t>
  </si>
  <si>
    <t>DBK-CUS-500375</t>
  </si>
  <si>
    <t>DBK-CMP-100376</t>
  </si>
  <si>
    <t>DBK-CUS-500376</t>
  </si>
  <si>
    <t>DBK-CMP-100377</t>
  </si>
  <si>
    <t>DBK-CUS-500377</t>
  </si>
  <si>
    <t>DBK-CMP-100378</t>
  </si>
  <si>
    <t>DBK-CUS-500378</t>
  </si>
  <si>
    <t>DBK-CMP-100379</t>
  </si>
  <si>
    <t>DBK-CUS-500379</t>
  </si>
  <si>
    <t>DBK-CMP-100380</t>
  </si>
  <si>
    <t>DBK-CUS-500380</t>
  </si>
  <si>
    <t>DBK-CMP-100381</t>
  </si>
  <si>
    <t>DBK-CUS-500381</t>
  </si>
  <si>
    <t>DBK-CMP-100382</t>
  </si>
  <si>
    <t>DBK-CUS-500382</t>
  </si>
  <si>
    <t>DBK-CMP-100383</t>
  </si>
  <si>
    <t>DBK-CUS-500383</t>
  </si>
  <si>
    <t>DBK-CMP-100384</t>
  </si>
  <si>
    <t>DBK-CUS-500384</t>
  </si>
  <si>
    <t>DBK-CMP-100385</t>
  </si>
  <si>
    <t>DBK-CUS-500385</t>
  </si>
  <si>
    <t>DBK-CMP-100386</t>
  </si>
  <si>
    <t>DBK-CUS-500386</t>
  </si>
  <si>
    <t>DBK-CMP-100387</t>
  </si>
  <si>
    <t>DBK-CUS-500387</t>
  </si>
  <si>
    <t>DBK-CMP-100388</t>
  </si>
  <si>
    <t>DBK-CUS-500388</t>
  </si>
  <si>
    <t>DBK-CMP-100389</t>
  </si>
  <si>
    <t>DBK-CUS-500389</t>
  </si>
  <si>
    <t>DBK-CMP-100390</t>
  </si>
  <si>
    <t>DBK-CUS-500390</t>
  </si>
  <si>
    <t>DBK-CMP-100391</t>
  </si>
  <si>
    <t>DBK-CUS-500391</t>
  </si>
  <si>
    <t>DBK-CMP-100392</t>
  </si>
  <si>
    <t>DBK-CUS-500392</t>
  </si>
  <si>
    <t>DBK-CMP-100393</t>
  </si>
  <si>
    <t>DBK-CUS-500393</t>
  </si>
  <si>
    <t>DBK-CMP-100394</t>
  </si>
  <si>
    <t>DBK-CUS-500394</t>
  </si>
  <si>
    <t>DBK-CMP-100395</t>
  </si>
  <si>
    <t>DBK-CUS-500395</t>
  </si>
  <si>
    <t>DBK-CMP-100396</t>
  </si>
  <si>
    <t>DBK-CUS-500396</t>
  </si>
  <si>
    <t>DBK-CMP-100397</t>
  </si>
  <si>
    <t>DBK-CUS-500397</t>
  </si>
  <si>
    <t>DBK-CMP-100398</t>
  </si>
  <si>
    <t>DBK-CUS-500398</t>
  </si>
  <si>
    <t>DBK-CMP-100399</t>
  </si>
  <si>
    <t>DBK-CUS-500399</t>
  </si>
  <si>
    <t>DBK-CMP-100400</t>
  </si>
  <si>
    <t>DBK-CUS-500400</t>
  </si>
  <si>
    <t>DBK-CMP-100401</t>
  </si>
  <si>
    <t>DBK-CUS-500401</t>
  </si>
  <si>
    <t>DBK-CMP-100402</t>
  </si>
  <si>
    <t>DBK-CUS-500402</t>
  </si>
  <si>
    <t>DBK-CMP-100403</t>
  </si>
  <si>
    <t>DBK-CUS-500403</t>
  </si>
  <si>
    <t>DBK-CMP-100404</t>
  </si>
  <si>
    <t>DBK-CUS-500404</t>
  </si>
  <si>
    <t>DBK-CMP-100405</t>
  </si>
  <si>
    <t>DBK-CUS-500405</t>
  </si>
  <si>
    <t>DBK-CMP-100406</t>
  </si>
  <si>
    <t>DBK-CUS-500406</t>
  </si>
  <si>
    <t>DBK-CMP-100407</t>
  </si>
  <si>
    <t>DBK-CUS-500407</t>
  </si>
  <si>
    <t>DBK-CMP-100408</t>
  </si>
  <si>
    <t>DBK-CUS-500408</t>
  </si>
  <si>
    <t>DBK-CMP-100409</t>
  </si>
  <si>
    <t>DBK-CUS-500409</t>
  </si>
  <si>
    <t>DBK-CMP-100410</t>
  </si>
  <si>
    <t>DBK-CUS-500410</t>
  </si>
  <si>
    <t>DBK-CMP-100411</t>
  </si>
  <si>
    <t>DBK-CUS-500411</t>
  </si>
  <si>
    <t>DBK-CMP-100412</t>
  </si>
  <si>
    <t>DBK-CUS-500412</t>
  </si>
  <si>
    <t>DBK-CMP-100413</t>
  </si>
  <si>
    <t>DBK-CUS-500413</t>
  </si>
  <si>
    <t>DBK-CMP-100414</t>
  </si>
  <si>
    <t>DBK-CUS-500414</t>
  </si>
  <si>
    <t>DBK-CMP-100415</t>
  </si>
  <si>
    <t>DBK-CUS-500415</t>
  </si>
  <si>
    <t>DBK-CMP-100416</t>
  </si>
  <si>
    <t>DBK-CUS-500416</t>
  </si>
  <si>
    <t>DBK-CMP-100417</t>
  </si>
  <si>
    <t>DBK-CUS-500417</t>
  </si>
  <si>
    <t>DBK-CMP-100418</t>
  </si>
  <si>
    <t>DBK-CUS-500418</t>
  </si>
  <si>
    <t>DBK-CMP-100419</t>
  </si>
  <si>
    <t>DBK-CUS-500419</t>
  </si>
  <si>
    <t>DBK-CMP-100420</t>
  </si>
  <si>
    <t>DBK-CUS-500420</t>
  </si>
  <si>
    <t>DBK-CMP-100421</t>
  </si>
  <si>
    <t>DBK-CUS-500421</t>
  </si>
  <si>
    <t>DBK-CMP-100422</t>
  </si>
  <si>
    <t>DBK-CUS-500422</t>
  </si>
  <si>
    <t>DBK-CMP-100423</t>
  </si>
  <si>
    <t>DBK-CUS-500423</t>
  </si>
  <si>
    <t>DBK-CMP-100424</t>
  </si>
  <si>
    <t>DBK-CUS-500424</t>
  </si>
  <si>
    <t>DBK-CMP-100425</t>
  </si>
  <si>
    <t>DBK-CUS-500425</t>
  </si>
  <si>
    <t>DBK-CMP-100426</t>
  </si>
  <si>
    <t>DBK-CUS-500426</t>
  </si>
  <si>
    <t>DBK-CMP-100427</t>
  </si>
  <si>
    <t>DBK-CUS-500427</t>
  </si>
  <si>
    <t>DBK-CMP-100428</t>
  </si>
  <si>
    <t>DBK-CUS-500428</t>
  </si>
  <si>
    <t>DBK-CMP-100429</t>
  </si>
  <si>
    <t>DBK-CUS-500429</t>
  </si>
  <si>
    <t>DBK-CMP-100430</t>
  </si>
  <si>
    <t>DBK-CUS-500430</t>
  </si>
  <si>
    <t>DBK-CMP-100431</t>
  </si>
  <si>
    <t>DBK-CUS-500431</t>
  </si>
  <si>
    <t>DBK-CMP-100432</t>
  </si>
  <si>
    <t>DBK-CUS-500432</t>
  </si>
  <si>
    <t>DBK-CMP-100433</t>
  </si>
  <si>
    <t>DBK-CUS-500433</t>
  </si>
  <si>
    <t>DBK-CMP-100434</t>
  </si>
  <si>
    <t>DBK-CUS-500434</t>
  </si>
  <si>
    <t>DBK-CMP-100435</t>
  </si>
  <si>
    <t>DBK-CUS-500435</t>
  </si>
  <si>
    <t>DBK-CMP-100436</t>
  </si>
  <si>
    <t>DBK-CUS-500436</t>
  </si>
  <si>
    <t>DBK-CMP-100437</t>
  </si>
  <si>
    <t>DBK-CUS-500437</t>
  </si>
  <si>
    <t>DBK-CMP-100438</t>
  </si>
  <si>
    <t>DBK-CUS-500438</t>
  </si>
  <si>
    <t>DBK-CMP-100439</t>
  </si>
  <si>
    <t>DBK-CUS-500439</t>
  </si>
  <si>
    <t>DBK-CMP-100440</t>
  </si>
  <si>
    <t>DBK-CUS-500440</t>
  </si>
  <si>
    <t>DBK-CMP-100441</t>
  </si>
  <si>
    <t>DBK-CUS-500441</t>
  </si>
  <si>
    <t>DBK-CMP-100442</t>
  </si>
  <si>
    <t>DBK-CUS-500442</t>
  </si>
  <si>
    <t>DBK-CMP-100443</t>
  </si>
  <si>
    <t>DBK-CUS-500443</t>
  </si>
  <si>
    <t>DBK-CMP-100444</t>
  </si>
  <si>
    <t>DBK-CUS-500444</t>
  </si>
  <si>
    <t>DBK-CMP-100445</t>
  </si>
  <si>
    <t>DBK-CUS-500445</t>
  </si>
  <si>
    <t>DBK-CMP-100446</t>
  </si>
  <si>
    <t>DBK-CUS-500446</t>
  </si>
  <si>
    <t>DBK-CMP-100447</t>
  </si>
  <si>
    <t>DBK-CUS-500447</t>
  </si>
  <si>
    <t>DBK-CMP-100448</t>
  </si>
  <si>
    <t>DBK-CUS-500448</t>
  </si>
  <si>
    <t>DBK-CMP-100449</t>
  </si>
  <si>
    <t>DBK-CUS-500449</t>
  </si>
  <si>
    <t>DBK-CMP-100450</t>
  </si>
  <si>
    <t>DBK-CUS-500450</t>
  </si>
  <si>
    <t>DBK-CMP-100451</t>
  </si>
  <si>
    <t>DBK-CUS-500451</t>
  </si>
  <si>
    <t>DBK-CMP-100452</t>
  </si>
  <si>
    <t>DBK-CUS-500452</t>
  </si>
  <si>
    <t>DBK-CMP-100453</t>
  </si>
  <si>
    <t>DBK-CUS-500453</t>
  </si>
  <si>
    <t>DBK-CMP-100454</t>
  </si>
  <si>
    <t>DBK-CUS-500454</t>
  </si>
  <si>
    <t>DBK-CMP-100455</t>
  </si>
  <si>
    <t>DBK-CUS-500455</t>
  </si>
  <si>
    <t>DBK-CMP-100456</t>
  </si>
  <si>
    <t>DBK-CUS-500456</t>
  </si>
  <si>
    <t>DBK-CMP-100457</t>
  </si>
  <si>
    <t>DBK-CUS-500457</t>
  </si>
  <si>
    <t>DBK-CMP-100458</t>
  </si>
  <si>
    <t>DBK-CUS-500458</t>
  </si>
  <si>
    <t>DBK-CMP-100459</t>
  </si>
  <si>
    <t>DBK-CUS-500459</t>
  </si>
  <si>
    <t>DBK-CMP-100460</t>
  </si>
  <si>
    <t>DBK-CUS-500460</t>
  </si>
  <si>
    <t>DBK-CMP-100461</t>
  </si>
  <si>
    <t>DBK-CUS-500461</t>
  </si>
  <si>
    <t>DBK-CMP-100462</t>
  </si>
  <si>
    <t>DBK-CUS-500462</t>
  </si>
  <si>
    <t>DBK-CMP-100463</t>
  </si>
  <si>
    <t>DBK-CUS-500463</t>
  </si>
  <si>
    <t>DBK-CMP-100464</t>
  </si>
  <si>
    <t>DBK-CUS-500464</t>
  </si>
  <si>
    <t>DBK-CMP-100465</t>
  </si>
  <si>
    <t>DBK-CUS-500465</t>
  </si>
  <si>
    <t>DBK-CMP-100466</t>
  </si>
  <si>
    <t>DBK-CUS-500466</t>
  </si>
  <si>
    <t>DBK-CMP-100467</t>
  </si>
  <si>
    <t>DBK-CUS-500467</t>
  </si>
  <si>
    <t>DBK-CMP-100468</t>
  </si>
  <si>
    <t>DBK-CUS-500468</t>
  </si>
  <si>
    <t>DBK-CMP-100469</t>
  </si>
  <si>
    <t>DBK-CUS-500469</t>
  </si>
  <si>
    <t>DBK-CMP-100470</t>
  </si>
  <si>
    <t>DBK-CUS-500470</t>
  </si>
  <si>
    <t>DBK-CMP-100471</t>
  </si>
  <si>
    <t>DBK-CUS-500471</t>
  </si>
  <si>
    <t>DBK-CMP-100472</t>
  </si>
  <si>
    <t>DBK-CUS-500472</t>
  </si>
  <si>
    <t>DBK-CMP-100473</t>
  </si>
  <si>
    <t>DBK-CUS-500473</t>
  </si>
  <si>
    <t>DBK-CMP-100474</t>
  </si>
  <si>
    <t>DBK-CUS-500474</t>
  </si>
  <si>
    <t>DBK-CMP-100475</t>
  </si>
  <si>
    <t>DBK-CUS-500475</t>
  </si>
  <si>
    <t>DBK-CMP-100476</t>
  </si>
  <si>
    <t>DBK-CUS-500476</t>
  </si>
  <si>
    <t>DBK-CMP-100477</t>
  </si>
  <si>
    <t>DBK-CUS-500477</t>
  </si>
  <si>
    <t>DBK-CMP-100478</t>
  </si>
  <si>
    <t>DBK-CUS-500478</t>
  </si>
  <si>
    <t>DBK-CMP-100479</t>
  </si>
  <si>
    <t>DBK-CUS-500479</t>
  </si>
  <si>
    <t>DBK-CMP-100480</t>
  </si>
  <si>
    <t>DBK-CUS-500480</t>
  </si>
  <si>
    <t>DBK-CMP-100481</t>
  </si>
  <si>
    <t>DBK-CUS-500481</t>
  </si>
  <si>
    <t>DBK-CMP-100482</t>
  </si>
  <si>
    <t>DBK-CUS-500482</t>
  </si>
  <si>
    <t>DBK-CMP-100483</t>
  </si>
  <si>
    <t>DBK-CUS-500483</t>
  </si>
  <si>
    <t>DBK-CMP-100484</t>
  </si>
  <si>
    <t>DBK-CUS-500484</t>
  </si>
  <si>
    <t>DBK-CMP-100485</t>
  </si>
  <si>
    <t>DBK-CUS-500485</t>
  </si>
  <si>
    <t>DBK-CMP-100486</t>
  </si>
  <si>
    <t>DBK-CUS-500486</t>
  </si>
  <si>
    <t>DBK-CMP-100487</t>
  </si>
  <si>
    <t>DBK-CUS-500487</t>
  </si>
  <si>
    <t>DBK-CMP-100488</t>
  </si>
  <si>
    <t>DBK-CUS-500488</t>
  </si>
  <si>
    <t>DBK-CMP-100489</t>
  </si>
  <si>
    <t>DBK-CUS-500489</t>
  </si>
  <si>
    <t>DBK-CMP-100490</t>
  </si>
  <si>
    <t>DBK-CUS-500490</t>
  </si>
  <si>
    <t>DBK-CMP-100491</t>
  </si>
  <si>
    <t>DBK-CUS-500491</t>
  </si>
  <si>
    <t>DBK-CMP-100492</t>
  </si>
  <si>
    <t>DBK-CUS-500492</t>
  </si>
  <si>
    <t>DBK-CMP-100493</t>
  </si>
  <si>
    <t>DBK-CUS-500493</t>
  </si>
  <si>
    <t>DBK-CMP-100494</t>
  </si>
  <si>
    <t>DBK-CUS-500494</t>
  </si>
  <si>
    <t>DBK-CMP-100495</t>
  </si>
  <si>
    <t>DBK-CUS-500495</t>
  </si>
  <si>
    <t>DBK-CMP-100496</t>
  </si>
  <si>
    <t>DBK-CUS-500496</t>
  </si>
  <si>
    <t>DBK-CMP-100497</t>
  </si>
  <si>
    <t>DBK-CUS-500497</t>
  </si>
  <si>
    <t>DBK-CMP-100498</t>
  </si>
  <si>
    <t>DBK-CUS-500498</t>
  </si>
  <si>
    <t>DBK-CMP-100499</t>
  </si>
  <si>
    <t>DBK-CUS-500499</t>
  </si>
  <si>
    <t>DBK-CMP-100500</t>
  </si>
  <si>
    <t>DBK-CUS-500500</t>
  </si>
  <si>
    <t>DBK-CMP-100501</t>
  </si>
  <si>
    <t>DBK-CUS-500501</t>
  </si>
  <si>
    <t>DBK-CMP-100502</t>
  </si>
  <si>
    <t>DBK-CUS-500502</t>
  </si>
  <si>
    <t>DBK-CMP-100503</t>
  </si>
  <si>
    <t>DBK-CUS-500503</t>
  </si>
  <si>
    <t>DBK-CMP-100504</t>
  </si>
  <si>
    <t>DBK-CUS-500504</t>
  </si>
  <si>
    <t>DBK-CMP-100505</t>
  </si>
  <si>
    <t>DBK-CUS-500505</t>
  </si>
  <si>
    <t>DBK-CMP-100506</t>
  </si>
  <si>
    <t>DBK-CUS-500506</t>
  </si>
  <si>
    <t>DBK-CMP-100507</t>
  </si>
  <si>
    <t>DBK-CUS-500507</t>
  </si>
  <si>
    <t>DBK-CMP-100508</t>
  </si>
  <si>
    <t>DBK-CUS-500508</t>
  </si>
  <si>
    <t>DBK-CMP-100509</t>
  </si>
  <si>
    <t>DBK-CUS-500509</t>
  </si>
  <si>
    <t>DBK-CMP-100510</t>
  </si>
  <si>
    <t>DBK-CUS-500510</t>
  </si>
  <si>
    <t>DBK-CMP-100511</t>
  </si>
  <si>
    <t>DBK-CUS-500511</t>
  </si>
  <si>
    <t>DBK-CMP-100512</t>
  </si>
  <si>
    <t>DBK-CUS-500512</t>
  </si>
  <si>
    <t>DBK-CMP-100513</t>
  </si>
  <si>
    <t>DBK-CUS-500513</t>
  </si>
  <si>
    <t>DBK-CMP-100514</t>
  </si>
  <si>
    <t>DBK-CUS-500514</t>
  </si>
  <si>
    <t>DBK-CMP-100515</t>
  </si>
  <si>
    <t>DBK-CUS-500515</t>
  </si>
  <si>
    <t>DBK-CMP-100516</t>
  </si>
  <si>
    <t>DBK-CUS-500516</t>
  </si>
  <si>
    <t>DBK-CMP-100517</t>
  </si>
  <si>
    <t>DBK-CUS-500517</t>
  </si>
  <si>
    <t>DBK-CMP-100518</t>
  </si>
  <si>
    <t>DBK-CUS-500518</t>
  </si>
  <si>
    <t>DBK-CMP-100519</t>
  </si>
  <si>
    <t>DBK-CUS-500519</t>
  </si>
  <si>
    <t>DBK-CMP-100520</t>
  </si>
  <si>
    <t>DBK-CUS-500520</t>
  </si>
  <si>
    <t>DBK-CMP-100521</t>
  </si>
  <si>
    <t>DBK-CUS-500521</t>
  </si>
  <si>
    <t>DBK-CMP-100522</t>
  </si>
  <si>
    <t>DBK-CUS-500522</t>
  </si>
  <si>
    <t>DBK-CMP-100523</t>
  </si>
  <si>
    <t>DBK-CUS-500523</t>
  </si>
  <si>
    <t>DBK-CMP-100524</t>
  </si>
  <si>
    <t>DBK-CUS-500524</t>
  </si>
  <si>
    <t>DBK-CMP-100525</t>
  </si>
  <si>
    <t>DBK-CUS-500525</t>
  </si>
  <si>
    <t>DBK-CMP-100526</t>
  </si>
  <si>
    <t>DBK-CUS-500526</t>
  </si>
  <si>
    <t>DBK-CMP-100527</t>
  </si>
  <si>
    <t>DBK-CUS-500527</t>
  </si>
  <si>
    <t>DBK-CMP-100528</t>
  </si>
  <si>
    <t>DBK-CUS-500528</t>
  </si>
  <si>
    <t>DBK-CMP-100529</t>
  </si>
  <si>
    <t>DBK-CUS-500529</t>
  </si>
  <si>
    <t>DBK-CMP-100530</t>
  </si>
  <si>
    <t>DBK-CUS-500530</t>
  </si>
  <si>
    <t>DBK-CMP-100531</t>
  </si>
  <si>
    <t>DBK-CUS-500531</t>
  </si>
  <si>
    <t>DBK-CMP-100532</t>
  </si>
  <si>
    <t>DBK-CUS-500532</t>
  </si>
  <si>
    <t>DBK-CMP-100533</t>
  </si>
  <si>
    <t>DBK-CUS-500533</t>
  </si>
  <si>
    <t>DBK-CMP-100534</t>
  </si>
  <si>
    <t>DBK-CUS-500534</t>
  </si>
  <si>
    <t>DBK-CMP-100535</t>
  </si>
  <si>
    <t>DBK-CUS-500535</t>
  </si>
  <si>
    <t>DBK-CMP-100536</t>
  </si>
  <si>
    <t>DBK-CUS-500536</t>
  </si>
  <si>
    <t>DBK-CMP-100537</t>
  </si>
  <si>
    <t>DBK-CUS-500537</t>
  </si>
  <si>
    <t>DBK-CMP-100538</t>
  </si>
  <si>
    <t>DBK-CUS-500538</t>
  </si>
  <si>
    <t>DBK-CMP-100539</t>
  </si>
  <si>
    <t>DBK-CUS-500539</t>
  </si>
  <si>
    <t>DBK-CMP-100540</t>
  </si>
  <si>
    <t>DBK-CUS-500540</t>
  </si>
  <si>
    <t>DBK-CMP-100541</t>
  </si>
  <si>
    <t>DBK-CUS-500541</t>
  </si>
  <si>
    <t>DBK-CMP-100542</t>
  </si>
  <si>
    <t>DBK-CUS-500542</t>
  </si>
  <si>
    <t>DBK-CMP-100543</t>
  </si>
  <si>
    <t>DBK-CUS-500543</t>
  </si>
  <si>
    <t>DBK-CMP-100544</t>
  </si>
  <si>
    <t>DBK-CUS-500544</t>
  </si>
  <si>
    <t>DBK-CMP-100545</t>
  </si>
  <si>
    <t>DBK-CUS-500545</t>
  </si>
  <si>
    <t>DBK-CMP-100546</t>
  </si>
  <si>
    <t>DBK-CUS-500546</t>
  </si>
  <si>
    <t>DBK-CMP-100547</t>
  </si>
  <si>
    <t>DBK-CUS-500547</t>
  </si>
  <si>
    <t>DBK-CMP-100548</t>
  </si>
  <si>
    <t>DBK-CUS-500548</t>
  </si>
  <si>
    <t>DBK-CMP-100549</t>
  </si>
  <si>
    <t>DBK-CUS-500549</t>
  </si>
  <si>
    <t>DBK-CMP-100550</t>
  </si>
  <si>
    <t>DBK-CUS-500550</t>
  </si>
  <si>
    <t>DBK-CMP-100551</t>
  </si>
  <si>
    <t>DBK-CUS-500551</t>
  </si>
  <si>
    <t>DBK-CMP-100552</t>
  </si>
  <si>
    <t>DBK-CUS-500552</t>
  </si>
  <si>
    <t>DBK-CMP-100553</t>
  </si>
  <si>
    <t>DBK-CUS-500553</t>
  </si>
  <si>
    <t>DBK-CMP-100554</t>
  </si>
  <si>
    <t>DBK-CUS-500554</t>
  </si>
  <si>
    <t>DBK-CMP-100555</t>
  </si>
  <si>
    <t>DBK-CUS-500555</t>
  </si>
  <si>
    <t>DBK-CMP-100556</t>
  </si>
  <si>
    <t>DBK-CUS-500556</t>
  </si>
  <si>
    <t>DBK-CMP-100557</t>
  </si>
  <si>
    <t>DBK-CUS-500557</t>
  </si>
  <si>
    <t>DBK-CMP-100558</t>
  </si>
  <si>
    <t>DBK-CUS-500558</t>
  </si>
  <si>
    <t>DBK-CMP-100559</t>
  </si>
  <si>
    <t>DBK-CUS-500559</t>
  </si>
  <si>
    <t>DBK-CMP-100560</t>
  </si>
  <si>
    <t>DBK-CUS-500560</t>
  </si>
  <si>
    <t>DBK-CMP-100561</t>
  </si>
  <si>
    <t>DBK-CUS-500561</t>
  </si>
  <si>
    <t>DBK-CMP-100562</t>
  </si>
  <si>
    <t>DBK-CUS-500562</t>
  </si>
  <si>
    <t>DBK-CMP-100563</t>
  </si>
  <si>
    <t>DBK-CUS-500563</t>
  </si>
  <si>
    <t>DBK-CMP-100564</t>
  </si>
  <si>
    <t>DBK-CUS-500564</t>
  </si>
  <si>
    <t>DBK-CMP-100565</t>
  </si>
  <si>
    <t>DBK-CUS-500565</t>
  </si>
  <si>
    <t>DBK-CMP-100566</t>
  </si>
  <si>
    <t>DBK-CUS-500566</t>
  </si>
  <si>
    <t>DBK-CMP-100567</t>
  </si>
  <si>
    <t>DBK-CUS-500567</t>
  </si>
  <si>
    <t>DBK-CMP-100568</t>
  </si>
  <si>
    <t>DBK-CUS-500568</t>
  </si>
  <si>
    <t>DBK-CMP-100569</t>
  </si>
  <si>
    <t>DBK-CUS-500569</t>
  </si>
  <si>
    <t>DBK-CMP-100570</t>
  </si>
  <si>
    <t>DBK-CUS-500570</t>
  </si>
  <si>
    <t>DBK-CMP-100571</t>
  </si>
  <si>
    <t>DBK-CUS-500571</t>
  </si>
  <si>
    <t>DBK-CMP-100572</t>
  </si>
  <si>
    <t>DBK-CUS-500572</t>
  </si>
  <si>
    <t>DBK-CMP-100573</t>
  </si>
  <si>
    <t>DBK-CUS-500573</t>
  </si>
  <si>
    <t>DBK-CMP-100574</t>
  </si>
  <si>
    <t>DBK-CUS-500574</t>
  </si>
  <si>
    <t>DBK-CMP-100575</t>
  </si>
  <si>
    <t>DBK-CUS-500575</t>
  </si>
  <si>
    <t>DBK-CMP-100576</t>
  </si>
  <si>
    <t>DBK-CUS-500576</t>
  </si>
  <si>
    <t>DBK-CMP-100577</t>
  </si>
  <si>
    <t>DBK-CUS-500577</t>
  </si>
  <si>
    <t>DBK-CMP-100578</t>
  </si>
  <si>
    <t>DBK-CUS-500578</t>
  </si>
  <si>
    <t>DBK-CMP-100579</t>
  </si>
  <si>
    <t>DBK-CUS-500579</t>
  </si>
  <si>
    <t>DBK-CMP-100580</t>
  </si>
  <si>
    <t>DBK-CUS-500580</t>
  </si>
  <si>
    <t>DBK-CMP-100581</t>
  </si>
  <si>
    <t>DBK-CUS-500581</t>
  </si>
  <si>
    <t>DBK-CMP-100582</t>
  </si>
  <si>
    <t>DBK-CUS-500582</t>
  </si>
  <si>
    <t>DBK-CMP-100583</t>
  </si>
  <si>
    <t>DBK-CUS-500583</t>
  </si>
  <si>
    <t>DBK-CMP-100584</t>
  </si>
  <si>
    <t>DBK-CUS-500584</t>
  </si>
  <si>
    <t>DBK-CMP-100585</t>
  </si>
  <si>
    <t>DBK-CUS-500585</t>
  </si>
  <si>
    <t>DBK-CMP-100586</t>
  </si>
  <si>
    <t>DBK-CUS-500586</t>
  </si>
  <si>
    <t>DBK-CMP-100587</t>
  </si>
  <si>
    <t>DBK-CUS-500587</t>
  </si>
  <si>
    <t>DBK-CMP-100588</t>
  </si>
  <si>
    <t>DBK-CUS-500588</t>
  </si>
  <si>
    <t>DBK-CMP-100589</t>
  </si>
  <si>
    <t>DBK-CUS-500589</t>
  </si>
  <si>
    <t>DBK-CMP-100590</t>
  </si>
  <si>
    <t>DBK-CUS-500590</t>
  </si>
  <si>
    <t>DBK-CMP-100591</t>
  </si>
  <si>
    <t>DBK-CUS-500591</t>
  </si>
  <si>
    <t>DBK-CMP-100592</t>
  </si>
  <si>
    <t>DBK-CUS-500592</t>
  </si>
  <si>
    <t>DBK-CMP-100593</t>
  </si>
  <si>
    <t>DBK-CUS-500593</t>
  </si>
  <si>
    <t>DBK-CMP-100594</t>
  </si>
  <si>
    <t>DBK-CUS-500594</t>
  </si>
  <si>
    <t>DBK-CMP-100595</t>
  </si>
  <si>
    <t>DBK-CUS-500595</t>
  </si>
  <si>
    <t>DBK-CMP-100596</t>
  </si>
  <si>
    <t>DBK-CUS-500596</t>
  </si>
  <si>
    <t>DBK-CMP-100597</t>
  </si>
  <si>
    <t>DBK-CUS-500597</t>
  </si>
  <si>
    <t>DBK-CMP-100598</t>
  </si>
  <si>
    <t>DBK-CUS-500598</t>
  </si>
  <si>
    <t>DBK-CMP-100599</t>
  </si>
  <si>
    <t>DBK-CUS-500599</t>
  </si>
  <si>
    <t>DBK-CMP-100600</t>
  </si>
  <si>
    <t>DBK-CUS-500600</t>
  </si>
  <si>
    <t>DBK-CMP-100601</t>
  </si>
  <si>
    <t>DBK-CUS-500601</t>
  </si>
  <si>
    <t>DBK-CMP-100602</t>
  </si>
  <si>
    <t>DBK-CUS-500602</t>
  </si>
  <si>
    <t>DBK-CMP-100603</t>
  </si>
  <si>
    <t>DBK-CUS-500603</t>
  </si>
  <si>
    <t>DBK-CMP-100604</t>
  </si>
  <si>
    <t>DBK-CUS-500604</t>
  </si>
  <si>
    <t>DBK-CMP-100605</t>
  </si>
  <si>
    <t>DBK-CUS-500605</t>
  </si>
  <si>
    <t>DBK-CMP-100606</t>
  </si>
  <si>
    <t>DBK-CUS-500606</t>
  </si>
  <si>
    <t>DBK-CMP-100607</t>
  </si>
  <si>
    <t>DBK-CUS-500607</t>
  </si>
  <si>
    <t>DBK-CMP-100608</t>
  </si>
  <si>
    <t>DBK-CUS-500608</t>
  </si>
  <si>
    <t>DBK-CMP-100609</t>
  </si>
  <si>
    <t>DBK-CUS-500609</t>
  </si>
  <si>
    <t>DBK-CMP-100610</t>
  </si>
  <si>
    <t>DBK-CUS-500610</t>
  </si>
  <si>
    <t>DBK-CMP-100611</t>
  </si>
  <si>
    <t>DBK-CUS-500611</t>
  </si>
  <si>
    <t>DBK-CMP-100612</t>
  </si>
  <si>
    <t>DBK-CUS-500612</t>
  </si>
  <si>
    <t>DBK-CMP-100613</t>
  </si>
  <si>
    <t>DBK-CUS-500613</t>
  </si>
  <si>
    <t>DBK-CMP-100614</t>
  </si>
  <si>
    <t>DBK-CUS-500614</t>
  </si>
  <si>
    <t>DBK-CMP-100615</t>
  </si>
  <si>
    <t>DBK-CUS-500615</t>
  </si>
  <si>
    <t>DBK-CMP-100616</t>
  </si>
  <si>
    <t>DBK-CUS-500616</t>
  </si>
  <si>
    <t>DBK-CMP-100617</t>
  </si>
  <si>
    <t>DBK-CUS-500617</t>
  </si>
  <si>
    <t>DBK-CMP-100618</t>
  </si>
  <si>
    <t>DBK-CUS-500618</t>
  </si>
  <si>
    <t>DBK-CMP-100619</t>
  </si>
  <si>
    <t>DBK-CUS-500619</t>
  </si>
  <si>
    <t>DBK-CMP-100620</t>
  </si>
  <si>
    <t>DBK-CUS-500620</t>
  </si>
  <si>
    <t>DBK-CMP-100621</t>
  </si>
  <si>
    <t>DBK-CUS-500621</t>
  </si>
  <si>
    <t>DBK-CMP-100622</t>
  </si>
  <si>
    <t>DBK-CUS-500622</t>
  </si>
  <si>
    <t>DBK-CMP-100623</t>
  </si>
  <si>
    <t>DBK-CUS-500623</t>
  </si>
  <si>
    <t>DBK-CMP-100624</t>
  </si>
  <si>
    <t>DBK-CUS-500624</t>
  </si>
  <si>
    <t>DBK-CMP-100625</t>
  </si>
  <si>
    <t>DBK-CUS-500625</t>
  </si>
  <si>
    <t>DBK-CMP-100626</t>
  </si>
  <si>
    <t>DBK-CUS-500626</t>
  </si>
  <si>
    <t>DBK-CMP-100627</t>
  </si>
  <si>
    <t>DBK-CUS-500627</t>
  </si>
  <si>
    <t>DBK-CMP-100628</t>
  </si>
  <si>
    <t>DBK-CUS-500628</t>
  </si>
  <si>
    <t>DBK-CMP-100629</t>
  </si>
  <si>
    <t>DBK-CUS-500629</t>
  </si>
  <si>
    <t>DBK-CMP-100630</t>
  </si>
  <si>
    <t>DBK-CUS-500630</t>
  </si>
  <si>
    <t>DBK-CMP-100631</t>
  </si>
  <si>
    <t>DBK-CUS-500631</t>
  </si>
  <si>
    <t>DBK-CMP-100632</t>
  </si>
  <si>
    <t>DBK-CUS-500632</t>
  </si>
  <si>
    <t>DBK-CMP-100633</t>
  </si>
  <si>
    <t>DBK-CUS-500633</t>
  </si>
  <si>
    <t>DBK-CMP-100634</t>
  </si>
  <si>
    <t>DBK-CUS-500634</t>
  </si>
  <si>
    <t>DBK-CMP-100635</t>
  </si>
  <si>
    <t>DBK-CUS-500635</t>
  </si>
  <si>
    <t>DBK-CMP-100636</t>
  </si>
  <si>
    <t>DBK-CUS-500636</t>
  </si>
  <si>
    <t>DBK-CMP-100637</t>
  </si>
  <si>
    <t>DBK-CUS-500637</t>
  </si>
  <si>
    <t>DBK-CMP-100638</t>
  </si>
  <si>
    <t>DBK-CUS-500638</t>
  </si>
  <si>
    <t>DBK-CMP-100639</t>
  </si>
  <si>
    <t>DBK-CUS-500639</t>
  </si>
  <si>
    <t>DBK-CMP-100640</t>
  </si>
  <si>
    <t>DBK-CUS-500640</t>
  </si>
  <si>
    <t>DBK-CMP-100641</t>
  </si>
  <si>
    <t>DBK-CUS-500641</t>
  </si>
  <si>
    <t>DBK-CMP-100642</t>
  </si>
  <si>
    <t>DBK-CUS-500642</t>
  </si>
  <si>
    <t>DBK-CMP-100643</t>
  </si>
  <si>
    <t>DBK-CUS-500643</t>
  </si>
  <si>
    <t>DBK-CMP-100644</t>
  </si>
  <si>
    <t>DBK-CUS-500644</t>
  </si>
  <si>
    <t>DBK-CMP-100645</t>
  </si>
  <si>
    <t>DBK-CUS-500645</t>
  </si>
  <si>
    <t>DBK-CMP-100646</t>
  </si>
  <si>
    <t>DBK-CUS-500646</t>
  </si>
  <si>
    <t>DBK-CMP-100647</t>
  </si>
  <si>
    <t>DBK-CUS-500647</t>
  </si>
  <si>
    <t>DBK-CMP-100648</t>
  </si>
  <si>
    <t>DBK-CUS-500648</t>
  </si>
  <si>
    <t>DBK-CMP-100649</t>
  </si>
  <si>
    <t>DBK-CUS-500649</t>
  </si>
  <si>
    <t>DBK-CMP-100650</t>
  </si>
  <si>
    <t>DBK-CUS-500650</t>
  </si>
  <si>
    <t>DBK-CMP-100651</t>
  </si>
  <si>
    <t>DBK-CUS-500651</t>
  </si>
  <si>
    <t>DBK-CMP-100652</t>
  </si>
  <si>
    <t>DBK-CUS-500652</t>
  </si>
  <si>
    <t>DBK-CMP-100653</t>
  </si>
  <si>
    <t>DBK-CUS-500653</t>
  </si>
  <si>
    <t>DBK-CMP-100654</t>
  </si>
  <si>
    <t>DBK-CUS-500654</t>
  </si>
  <si>
    <t>DBK-CMP-100655</t>
  </si>
  <si>
    <t>DBK-CUS-500655</t>
  </si>
  <si>
    <t>DBK-CMP-100656</t>
  </si>
  <si>
    <t>DBK-CUS-500656</t>
  </si>
  <si>
    <t>DBK-CMP-100657</t>
  </si>
  <si>
    <t>DBK-CUS-500657</t>
  </si>
  <si>
    <t>DBK-CMP-100658</t>
  </si>
  <si>
    <t>DBK-CUS-500658</t>
  </si>
  <si>
    <t>DBK-CMP-100659</t>
  </si>
  <si>
    <t>DBK-CUS-500659</t>
  </si>
  <si>
    <t>DBK-CMP-100660</t>
  </si>
  <si>
    <t>DBK-CUS-500660</t>
  </si>
  <si>
    <t>DBK-CMP-100661</t>
  </si>
  <si>
    <t>DBK-CUS-500661</t>
  </si>
  <si>
    <t>DBK-CMP-100662</t>
  </si>
  <si>
    <t>DBK-CUS-500662</t>
  </si>
  <si>
    <t>DBK-CMP-100663</t>
  </si>
  <si>
    <t>DBK-CUS-500663</t>
  </si>
  <si>
    <t>DBK-CMP-100664</t>
  </si>
  <si>
    <t>DBK-CUS-500664</t>
  </si>
  <si>
    <t>DBK-CMP-100665</t>
  </si>
  <si>
    <t>DBK-CUS-500665</t>
  </si>
  <si>
    <t>DBK-CMP-100666</t>
  </si>
  <si>
    <t>DBK-CUS-500666</t>
  </si>
  <si>
    <t>DBK-CMP-100667</t>
  </si>
  <si>
    <t>DBK-CUS-500667</t>
  </si>
  <si>
    <t>DBK-CMP-100668</t>
  </si>
  <si>
    <t>DBK-CUS-500668</t>
  </si>
  <si>
    <t>DBK-CMP-100669</t>
  </si>
  <si>
    <t>DBK-CUS-500669</t>
  </si>
  <si>
    <t>DBK-CMP-100670</t>
  </si>
  <si>
    <t>DBK-CUS-500670</t>
  </si>
  <si>
    <t>DBK-CMP-100671</t>
  </si>
  <si>
    <t>DBK-CUS-500671</t>
  </si>
  <si>
    <t>DBK-CMP-100672</t>
  </si>
  <si>
    <t>DBK-CUS-500672</t>
  </si>
  <si>
    <t>DBK-CMP-100673</t>
  </si>
  <si>
    <t>DBK-CUS-500673</t>
  </si>
  <si>
    <t>DBK-CMP-100674</t>
  </si>
  <si>
    <t>DBK-CUS-500674</t>
  </si>
  <si>
    <t>DBK-CMP-100675</t>
  </si>
  <si>
    <t>DBK-CUS-500675</t>
  </si>
  <si>
    <t>DBK-CMP-100676</t>
  </si>
  <si>
    <t>DBK-CUS-500676</t>
  </si>
  <si>
    <t>DBK-CMP-100677</t>
  </si>
  <si>
    <t>DBK-CUS-500677</t>
  </si>
  <si>
    <t>DBK-CMP-100678</t>
  </si>
  <si>
    <t>DBK-CUS-500678</t>
  </si>
  <si>
    <t>DBK-CMP-100679</t>
  </si>
  <si>
    <t>DBK-CUS-500679</t>
  </si>
  <si>
    <t>DBK-CMP-100680</t>
  </si>
  <si>
    <t>DBK-CUS-500680</t>
  </si>
  <si>
    <t>DBK-CMP-100681</t>
  </si>
  <si>
    <t>DBK-CUS-500681</t>
  </si>
  <si>
    <t>DBK-CMP-100682</t>
  </si>
  <si>
    <t>DBK-CUS-500682</t>
  </si>
  <si>
    <t>DBK-CMP-100683</t>
  </si>
  <si>
    <t>DBK-CUS-500683</t>
  </si>
  <si>
    <t>DBK-CMP-100684</t>
  </si>
  <si>
    <t>DBK-CUS-500684</t>
  </si>
  <si>
    <t>DBK-CMP-100685</t>
  </si>
  <si>
    <t>DBK-CUS-500685</t>
  </si>
  <si>
    <t>DBK-CMP-100686</t>
  </si>
  <si>
    <t>DBK-CUS-500686</t>
  </si>
  <si>
    <t>DBK-CMP-100687</t>
  </si>
  <si>
    <t>DBK-CUS-500687</t>
  </si>
  <si>
    <t>DBK-CMP-100688</t>
  </si>
  <si>
    <t>DBK-CUS-500688</t>
  </si>
  <si>
    <t>DBK-CMP-100689</t>
  </si>
  <si>
    <t>DBK-CUS-500689</t>
  </si>
  <si>
    <t>DBK-CMP-100690</t>
  </si>
  <si>
    <t>DBK-CUS-500690</t>
  </si>
  <si>
    <t>DBK-CMP-100691</t>
  </si>
  <si>
    <t>DBK-CUS-500691</t>
  </si>
  <si>
    <t>DBK-CMP-100692</t>
  </si>
  <si>
    <t>DBK-CUS-500692</t>
  </si>
  <si>
    <t>DBK-CMP-100693</t>
  </si>
  <si>
    <t>DBK-CUS-500693</t>
  </si>
  <si>
    <t>DBK-CMP-100694</t>
  </si>
  <si>
    <t>DBK-CUS-500694</t>
  </si>
  <si>
    <t>DBK-CMP-100695</t>
  </si>
  <si>
    <t>DBK-CUS-500695</t>
  </si>
  <si>
    <t>DBK-CMP-100696</t>
  </si>
  <si>
    <t>DBK-CUS-500696</t>
  </si>
  <si>
    <t>DBK-CMP-100697</t>
  </si>
  <si>
    <t>DBK-CUS-500697</t>
  </si>
  <si>
    <t>DBK-CMP-100698</t>
  </si>
  <si>
    <t>DBK-CUS-500698</t>
  </si>
  <si>
    <t>DBK-CMP-100699</t>
  </si>
  <si>
    <t>DBK-CUS-500699</t>
  </si>
  <si>
    <t>DBK-CMP-100700</t>
  </si>
  <si>
    <t>DBK-CUS-500700</t>
  </si>
  <si>
    <t>DBK-CMP-100701</t>
  </si>
  <si>
    <t>DBK-CUS-500701</t>
  </si>
  <si>
    <t>DBK-CMP-100702</t>
  </si>
  <si>
    <t>DBK-CUS-500702</t>
  </si>
  <si>
    <t>DBK-CMP-100703</t>
  </si>
  <si>
    <t>DBK-CUS-500703</t>
  </si>
  <si>
    <t>DBK-CMP-100704</t>
  </si>
  <si>
    <t>DBK-CUS-500704</t>
  </si>
  <si>
    <t>DBK-CMP-100705</t>
  </si>
  <si>
    <t>DBK-CUS-500705</t>
  </si>
  <si>
    <t>DBK-CMP-100706</t>
  </si>
  <si>
    <t>DBK-CUS-500706</t>
  </si>
  <si>
    <t>DBK-CMP-100707</t>
  </si>
  <si>
    <t>DBK-CUS-500707</t>
  </si>
  <si>
    <t>DBK-CMP-100708</t>
  </si>
  <si>
    <t>DBK-CUS-500708</t>
  </si>
  <si>
    <t>DBK-CMP-100709</t>
  </si>
  <si>
    <t>DBK-CUS-500709</t>
  </si>
  <si>
    <t>DBK-CMP-100710</t>
  </si>
  <si>
    <t>DBK-CUS-500710</t>
  </si>
  <si>
    <t>DBK-CMP-100711</t>
  </si>
  <si>
    <t>DBK-CUS-500711</t>
  </si>
  <si>
    <t>DBK-CMP-100712</t>
  </si>
  <si>
    <t>DBK-CUS-500712</t>
  </si>
  <si>
    <t>DBK-CMP-100713</t>
  </si>
  <si>
    <t>DBK-CUS-500713</t>
  </si>
  <si>
    <t>DBK-CMP-100714</t>
  </si>
  <si>
    <t>DBK-CUS-500714</t>
  </si>
  <si>
    <t>DBK-CMP-100715</t>
  </si>
  <si>
    <t>DBK-CUS-500715</t>
  </si>
  <si>
    <t>DBK-CMP-100716</t>
  </si>
  <si>
    <t>DBK-CUS-500716</t>
  </si>
  <si>
    <t>DBK-CMP-100717</t>
  </si>
  <si>
    <t>DBK-CUS-500717</t>
  </si>
  <si>
    <t>DBK-CMP-100718</t>
  </si>
  <si>
    <t>DBK-CUS-500718</t>
  </si>
  <si>
    <t>DBK-CMP-100719</t>
  </si>
  <si>
    <t>DBK-CUS-500719</t>
  </si>
  <si>
    <t>DBK-CMP-100720</t>
  </si>
  <si>
    <t>DBK-CUS-500720</t>
  </si>
  <si>
    <t>DBK-CMP-100721</t>
  </si>
  <si>
    <t>DBK-CUS-500721</t>
  </si>
  <si>
    <t>DBK-CMP-100722</t>
  </si>
  <si>
    <t>DBK-CUS-500722</t>
  </si>
  <si>
    <t>DBK-CMP-100723</t>
  </si>
  <si>
    <t>DBK-CUS-500723</t>
  </si>
  <si>
    <t>DBK-CMP-100724</t>
  </si>
  <si>
    <t>DBK-CUS-500724</t>
  </si>
  <si>
    <t>DBK-CMP-100725</t>
  </si>
  <si>
    <t>DBK-CUS-500725</t>
  </si>
  <si>
    <t>DBK-CMP-100726</t>
  </si>
  <si>
    <t>DBK-CUS-500726</t>
  </si>
  <si>
    <t>DBK-CMP-100727</t>
  </si>
  <si>
    <t>DBK-CUS-500727</t>
  </si>
  <si>
    <t>DBK-CMP-100728</t>
  </si>
  <si>
    <t>DBK-CUS-500728</t>
  </si>
  <si>
    <t>DBK-CMP-100729</t>
  </si>
  <si>
    <t>DBK-CUS-500729</t>
  </si>
  <si>
    <t>DBK-CMP-100730</t>
  </si>
  <si>
    <t>DBK-CUS-500730</t>
  </si>
  <si>
    <t>DBK-CMP-100731</t>
  </si>
  <si>
    <t>DBK-CUS-500731</t>
  </si>
  <si>
    <t>DBK-CMP-100732</t>
  </si>
  <si>
    <t>DBK-CUS-500732</t>
  </si>
  <si>
    <t>DBK-CMP-100733</t>
  </si>
  <si>
    <t>DBK-CUS-500733</t>
  </si>
  <si>
    <t>DBK-CMP-100734</t>
  </si>
  <si>
    <t>DBK-CUS-500734</t>
  </si>
  <si>
    <t>DBK-CMP-100735</t>
  </si>
  <si>
    <t>DBK-CUS-500735</t>
  </si>
  <si>
    <t>DBK-CMP-100736</t>
  </si>
  <si>
    <t>DBK-CUS-500736</t>
  </si>
  <si>
    <t>DBK-CMP-100737</t>
  </si>
  <si>
    <t>DBK-CUS-500737</t>
  </si>
  <si>
    <t>DBK-CMP-100738</t>
  </si>
  <si>
    <t>DBK-CUS-500738</t>
  </si>
  <si>
    <t>DBK-CMP-100739</t>
  </si>
  <si>
    <t>DBK-CUS-500739</t>
  </si>
  <si>
    <t>DBK-CMP-100740</t>
  </si>
  <si>
    <t>DBK-CUS-500740</t>
  </si>
  <si>
    <t>DBK-CMP-100741</t>
  </si>
  <si>
    <t>DBK-CUS-500741</t>
  </si>
  <si>
    <t>DBK-CMP-100742</t>
  </si>
  <si>
    <t>DBK-CUS-500742</t>
  </si>
  <si>
    <t>DBK-CMP-100743</t>
  </si>
  <si>
    <t>DBK-CUS-500743</t>
  </si>
  <si>
    <t>DBK-CMP-100744</t>
  </si>
  <si>
    <t>DBK-CUS-500744</t>
  </si>
  <si>
    <t>DBK-CMP-100745</t>
  </si>
  <si>
    <t>DBK-CUS-500745</t>
  </si>
  <si>
    <t>DBK-CMP-100746</t>
  </si>
  <si>
    <t>DBK-CUS-500746</t>
  </si>
  <si>
    <t>DBK-CMP-100747</t>
  </si>
  <si>
    <t>DBK-CUS-500747</t>
  </si>
  <si>
    <t>DBK-CMP-100748</t>
  </si>
  <si>
    <t>DBK-CUS-500748</t>
  </si>
  <si>
    <t>DBK-CMP-100749</t>
  </si>
  <si>
    <t>DBK-CUS-500749</t>
  </si>
  <si>
    <t>DBK-CMP-100750</t>
  </si>
  <si>
    <t>DBK-CUS-500750</t>
  </si>
  <si>
    <t>DBK-CMP-100751</t>
  </si>
  <si>
    <t>DBK-CUS-500751</t>
  </si>
  <si>
    <t>DBK-CMP-100752</t>
  </si>
  <si>
    <t>DBK-CUS-500752</t>
  </si>
  <si>
    <t>DBK-CMP-100753</t>
  </si>
  <si>
    <t>DBK-CUS-500753</t>
  </si>
  <si>
    <t>DBK-CMP-100754</t>
  </si>
  <si>
    <t>DBK-CUS-500754</t>
  </si>
  <si>
    <t>DBK-CMP-100755</t>
  </si>
  <si>
    <t>DBK-CUS-500755</t>
  </si>
  <si>
    <t>DBK-CMP-100756</t>
  </si>
  <si>
    <t>DBK-CUS-500756</t>
  </si>
  <si>
    <t>DBK-CMP-100757</t>
  </si>
  <si>
    <t>DBK-CUS-500757</t>
  </si>
  <si>
    <t>DBK-CMP-100758</t>
  </si>
  <si>
    <t>DBK-CUS-500758</t>
  </si>
  <si>
    <t>DBK-CMP-100759</t>
  </si>
  <si>
    <t>DBK-CUS-500759</t>
  </si>
  <si>
    <t>DBK-CMP-100760</t>
  </si>
  <si>
    <t>DBK-CUS-500760</t>
  </si>
  <si>
    <t>DBK-CMP-100761</t>
  </si>
  <si>
    <t>DBK-CUS-500761</t>
  </si>
  <si>
    <t>DBK-CMP-100762</t>
  </si>
  <si>
    <t>DBK-CUS-500762</t>
  </si>
  <si>
    <t>DBK-CMP-100763</t>
  </si>
  <si>
    <t>DBK-CUS-500763</t>
  </si>
  <si>
    <t>DBK-CMP-100764</t>
  </si>
  <si>
    <t>DBK-CUS-500764</t>
  </si>
  <si>
    <t>DBK-CMP-100765</t>
  </si>
  <si>
    <t>DBK-CUS-500765</t>
  </si>
  <si>
    <t>DBK-CMP-100766</t>
  </si>
  <si>
    <t>DBK-CUS-500766</t>
  </si>
  <si>
    <t>DBK-CMP-100767</t>
  </si>
  <si>
    <t>DBK-CUS-500767</t>
  </si>
  <si>
    <t>DBK-CMP-100768</t>
  </si>
  <si>
    <t>DBK-CUS-500768</t>
  </si>
  <si>
    <t>DBK-CMP-100769</t>
  </si>
  <si>
    <t>DBK-CUS-500769</t>
  </si>
  <si>
    <t>DBK-CMP-100770</t>
  </si>
  <si>
    <t>DBK-CUS-500770</t>
  </si>
  <si>
    <t>DBK-CMP-100771</t>
  </si>
  <si>
    <t>DBK-CUS-500771</t>
  </si>
  <si>
    <t>DBK-CMP-100772</t>
  </si>
  <si>
    <t>DBK-CUS-500772</t>
  </si>
  <si>
    <t>DBK-CMP-100773</t>
  </si>
  <si>
    <t>DBK-CUS-500773</t>
  </si>
  <si>
    <t>DBK-CMP-100774</t>
  </si>
  <si>
    <t>DBK-CUS-500774</t>
  </si>
  <si>
    <t>DBK-CMP-100775</t>
  </si>
  <si>
    <t>DBK-CUS-500775</t>
  </si>
  <si>
    <t>DBK-CMP-100776</t>
  </si>
  <si>
    <t>DBK-CUS-500776</t>
  </si>
  <si>
    <t>DBK-CMP-100777</t>
  </si>
  <si>
    <t>DBK-CUS-500777</t>
  </si>
  <si>
    <t>DBK-CMP-100778</t>
  </si>
  <si>
    <t>DBK-CUS-500778</t>
  </si>
  <si>
    <t>DBK-CMP-100779</t>
  </si>
  <si>
    <t>DBK-CUS-500779</t>
  </si>
  <si>
    <t>DBK-CMP-100780</t>
  </si>
  <si>
    <t>DBK-CUS-500780</t>
  </si>
  <si>
    <t>DBK-CMP-100781</t>
  </si>
  <si>
    <t>DBK-CUS-500781</t>
  </si>
  <si>
    <t>DBK-CMP-100782</t>
  </si>
  <si>
    <t>DBK-CUS-500782</t>
  </si>
  <si>
    <t>DBK-CMP-100783</t>
  </si>
  <si>
    <t>DBK-CUS-500783</t>
  </si>
  <si>
    <t>DBK-CMP-100784</t>
  </si>
  <si>
    <t>DBK-CUS-500784</t>
  </si>
  <si>
    <t>DBK-CMP-100785</t>
  </si>
  <si>
    <t>DBK-CUS-500785</t>
  </si>
  <si>
    <t>DBK-CMP-100786</t>
  </si>
  <si>
    <t>DBK-CUS-500786</t>
  </si>
  <si>
    <t>DBK-CMP-100787</t>
  </si>
  <si>
    <t>DBK-CUS-500787</t>
  </si>
  <si>
    <t>DBK-CMP-100788</t>
  </si>
  <si>
    <t>DBK-CUS-500788</t>
  </si>
  <si>
    <t>DBK-CMP-100789</t>
  </si>
  <si>
    <t>DBK-CUS-500789</t>
  </si>
  <si>
    <t>DBK-CMP-100790</t>
  </si>
  <si>
    <t>DBK-CUS-500790</t>
  </si>
  <si>
    <t>DBK-CMP-100791</t>
  </si>
  <si>
    <t>DBK-CUS-500791</t>
  </si>
  <si>
    <t>DBK-CMP-100792</t>
  </si>
  <si>
    <t>DBK-CUS-500792</t>
  </si>
  <si>
    <t>DBK-CMP-100793</t>
  </si>
  <si>
    <t>DBK-CUS-500793</t>
  </si>
  <si>
    <t>DBK-CMP-100794</t>
  </si>
  <si>
    <t>DBK-CUS-500794</t>
  </si>
  <si>
    <t>DBK-CMP-100795</t>
  </si>
  <si>
    <t>DBK-CUS-500795</t>
  </si>
  <si>
    <t>DBK-CMP-100796</t>
  </si>
  <si>
    <t>DBK-CUS-500796</t>
  </si>
  <si>
    <t>DBK-CMP-100797</t>
  </si>
  <si>
    <t>DBK-CUS-500797</t>
  </si>
  <si>
    <t>DBK-CMP-100798</t>
  </si>
  <si>
    <t>DBK-CUS-500798</t>
  </si>
  <si>
    <t>DBK-CMP-100799</t>
  </si>
  <si>
    <t>DBK-CUS-500799</t>
  </si>
  <si>
    <t>DBK-CMP-100800</t>
  </si>
  <si>
    <t>DBK-CUS-500800</t>
  </si>
  <si>
    <t>DBK-CMP-100801</t>
  </si>
  <si>
    <t>DBK-CUS-500801</t>
  </si>
  <si>
    <t>DBK-CMP-100802</t>
  </si>
  <si>
    <t>DBK-CUS-500802</t>
  </si>
  <si>
    <t>DBK-CMP-100803</t>
  </si>
  <si>
    <t>DBK-CUS-500803</t>
  </si>
  <si>
    <t>DBK-CMP-100804</t>
  </si>
  <si>
    <t>DBK-CUS-500804</t>
  </si>
  <si>
    <t>DBK-CMP-100805</t>
  </si>
  <si>
    <t>DBK-CUS-500805</t>
  </si>
  <si>
    <t>DBK-CMP-100806</t>
  </si>
  <si>
    <t>DBK-CUS-500806</t>
  </si>
  <si>
    <t>DBK-CMP-100807</t>
  </si>
  <si>
    <t>DBK-CUS-500807</t>
  </si>
  <si>
    <t>DBK-CMP-100808</t>
  </si>
  <si>
    <t>DBK-CUS-500808</t>
  </si>
  <si>
    <t>DBK-CMP-100809</t>
  </si>
  <si>
    <t>DBK-CUS-500809</t>
  </si>
  <si>
    <t>DBK-CMP-100810</t>
  </si>
  <si>
    <t>DBK-CUS-500810</t>
  </si>
  <si>
    <t>DBK-CMP-100811</t>
  </si>
  <si>
    <t>DBK-CUS-500811</t>
  </si>
  <si>
    <t>DBK-CMP-100812</t>
  </si>
  <si>
    <t>DBK-CUS-500812</t>
  </si>
  <si>
    <t>DBK-CMP-100813</t>
  </si>
  <si>
    <t>DBK-CUS-500813</t>
  </si>
  <si>
    <t>DBK-CMP-100814</t>
  </si>
  <si>
    <t>DBK-CUS-500814</t>
  </si>
  <si>
    <t>DBK-CMP-100815</t>
  </si>
  <si>
    <t>DBK-CUS-500815</t>
  </si>
  <si>
    <t>DBK-CMP-100816</t>
  </si>
  <si>
    <t>DBK-CUS-500816</t>
  </si>
  <si>
    <t>DBK-CMP-100817</t>
  </si>
  <si>
    <t>DBK-CUS-500817</t>
  </si>
  <si>
    <t>DBK-CMP-100818</t>
  </si>
  <si>
    <t>DBK-CUS-500818</t>
  </si>
  <si>
    <t>DBK-CMP-100819</t>
  </si>
  <si>
    <t>DBK-CUS-500819</t>
  </si>
  <si>
    <t>DBK-CMP-100820</t>
  </si>
  <si>
    <t>DBK-CUS-500820</t>
  </si>
  <si>
    <t>DBK-CMP-100821</t>
  </si>
  <si>
    <t>DBK-CUS-500821</t>
  </si>
  <si>
    <t>DBK-CMP-100822</t>
  </si>
  <si>
    <t>DBK-CUS-500822</t>
  </si>
  <si>
    <t>DBK-CMP-100823</t>
  </si>
  <si>
    <t>DBK-CUS-500823</t>
  </si>
  <si>
    <t>DBK-CMP-100824</t>
  </si>
  <si>
    <t>DBK-CUS-500824</t>
  </si>
  <si>
    <t>DBK-CMP-100825</t>
  </si>
  <si>
    <t>DBK-CUS-500825</t>
  </si>
  <si>
    <t>DBK-CMP-100826</t>
  </si>
  <si>
    <t>DBK-CUS-500826</t>
  </si>
  <si>
    <t>DBK-CMP-100827</t>
  </si>
  <si>
    <t>DBK-CUS-500827</t>
  </si>
  <si>
    <t>DBK-CMP-100828</t>
  </si>
  <si>
    <t>DBK-CUS-500828</t>
  </si>
  <si>
    <t>DBK-CMP-100829</t>
  </si>
  <si>
    <t>DBK-CUS-500829</t>
  </si>
  <si>
    <t>DBK-CMP-100830</t>
  </si>
  <si>
    <t>DBK-CUS-500830</t>
  </si>
  <si>
    <t>DBK-CMP-100831</t>
  </si>
  <si>
    <t>DBK-CUS-500831</t>
  </si>
  <si>
    <t>DBK-CMP-100832</t>
  </si>
  <si>
    <t>DBK-CUS-500832</t>
  </si>
  <si>
    <t>DBK-CMP-100833</t>
  </si>
  <si>
    <t>DBK-CUS-500833</t>
  </si>
  <si>
    <t>DBK-CMP-100834</t>
  </si>
  <si>
    <t>DBK-CUS-500834</t>
  </si>
  <si>
    <t>DBK-CMP-100835</t>
  </si>
  <si>
    <t>DBK-CUS-500835</t>
  </si>
  <si>
    <t>DBK-CMP-100836</t>
  </si>
  <si>
    <t>DBK-CUS-500836</t>
  </si>
  <si>
    <t>DBK-CMP-100837</t>
  </si>
  <si>
    <t>DBK-CUS-500837</t>
  </si>
  <si>
    <t>DBK-CMP-100838</t>
  </si>
  <si>
    <t>DBK-CUS-500838</t>
  </si>
  <si>
    <t>DBK-CMP-100839</t>
  </si>
  <si>
    <t>DBK-CUS-500839</t>
  </si>
  <si>
    <t>DBK-CMP-100840</t>
  </si>
  <si>
    <t>DBK-CUS-500840</t>
  </si>
  <si>
    <t>DBK-CMP-100841</t>
  </si>
  <si>
    <t>DBK-CUS-500841</t>
  </si>
  <si>
    <t>DBK-CMP-100842</t>
  </si>
  <si>
    <t>DBK-CUS-500842</t>
  </si>
  <si>
    <t>DBK-CMP-100843</t>
  </si>
  <si>
    <t>DBK-CUS-500843</t>
  </si>
  <si>
    <t>DBK-CMP-100844</t>
  </si>
  <si>
    <t>DBK-CUS-500844</t>
  </si>
  <si>
    <t>DBK-CMP-100845</t>
  </si>
  <si>
    <t>DBK-CUS-500845</t>
  </si>
  <si>
    <t>DBK-CMP-100846</t>
  </si>
  <si>
    <t>DBK-CUS-500846</t>
  </si>
  <si>
    <t>DBK-CMP-100847</t>
  </si>
  <si>
    <t>DBK-CUS-500847</t>
  </si>
  <si>
    <t>DBK-CMP-100848</t>
  </si>
  <si>
    <t>DBK-CUS-500848</t>
  </si>
  <si>
    <t>DBK-CMP-100849</t>
  </si>
  <si>
    <t>DBK-CUS-500849</t>
  </si>
  <si>
    <t>DBK-CMP-100850</t>
  </si>
  <si>
    <t>DBK-CUS-500850</t>
  </si>
  <si>
    <t>DBK-CMP-100851</t>
  </si>
  <si>
    <t>DBK-CUS-500851</t>
  </si>
  <si>
    <t>DBK-CMP-100852</t>
  </si>
  <si>
    <t>DBK-CUS-500852</t>
  </si>
  <si>
    <t>DBK-CMP-100853</t>
  </si>
  <si>
    <t>DBK-CUS-500853</t>
  </si>
  <si>
    <t>DBK-CMP-100854</t>
  </si>
  <si>
    <t>DBK-CUS-500854</t>
  </si>
  <si>
    <t>DBK-CMP-100855</t>
  </si>
  <si>
    <t>DBK-CUS-500855</t>
  </si>
  <si>
    <t>DBK-CMP-100856</t>
  </si>
  <si>
    <t>DBK-CUS-500856</t>
  </si>
  <si>
    <t>DBK-CMP-100857</t>
  </si>
  <si>
    <t>DBK-CUS-500857</t>
  </si>
  <si>
    <t>DBK-CMP-100858</t>
  </si>
  <si>
    <t>DBK-CUS-500858</t>
  </si>
  <si>
    <t>DBK-CMP-100859</t>
  </si>
  <si>
    <t>DBK-CUS-500859</t>
  </si>
  <si>
    <t>DBK-CMP-100860</t>
  </si>
  <si>
    <t>DBK-CUS-500860</t>
  </si>
  <si>
    <t>DBK-CMP-100861</t>
  </si>
  <si>
    <t>DBK-CUS-500861</t>
  </si>
  <si>
    <t>DBK-CMP-100862</t>
  </si>
  <si>
    <t>DBK-CUS-500862</t>
  </si>
  <si>
    <t>DBK-CMP-100863</t>
  </si>
  <si>
    <t>DBK-CUS-500863</t>
  </si>
  <si>
    <t>DBK-CMP-100864</t>
  </si>
  <si>
    <t>DBK-CUS-500864</t>
  </si>
  <si>
    <t>DBK-CMP-100865</t>
  </si>
  <si>
    <t>DBK-CUS-500865</t>
  </si>
  <si>
    <t>DBK-CMP-100866</t>
  </si>
  <si>
    <t>DBK-CUS-500866</t>
  </si>
  <si>
    <t>DBK-CMP-100867</t>
  </si>
  <si>
    <t>DBK-CUS-500867</t>
  </si>
  <si>
    <t>DBK-CMP-100868</t>
  </si>
  <si>
    <t>DBK-CUS-500868</t>
  </si>
  <si>
    <t>DBK-CMP-100869</t>
  </si>
  <si>
    <t>DBK-CUS-500869</t>
  </si>
  <si>
    <t>DBK-CMP-100870</t>
  </si>
  <si>
    <t>DBK-CUS-500870</t>
  </si>
  <si>
    <t>DBK-CMP-100871</t>
  </si>
  <si>
    <t>DBK-CUS-500871</t>
  </si>
  <si>
    <t>DBK-CMP-100872</t>
  </si>
  <si>
    <t>DBK-CUS-500872</t>
  </si>
  <si>
    <t>DBK-CMP-100873</t>
  </si>
  <si>
    <t>DBK-CUS-500873</t>
  </si>
  <si>
    <t>DBK-CMP-100874</t>
  </si>
  <si>
    <t>DBK-CUS-500874</t>
  </si>
  <si>
    <t>DBK-CMP-100875</t>
  </si>
  <si>
    <t>DBK-CUS-500875</t>
  </si>
  <si>
    <t>DBK-CMP-100876</t>
  </si>
  <si>
    <t>DBK-CUS-500876</t>
  </si>
  <si>
    <t>DBK-CMP-100877</t>
  </si>
  <si>
    <t>DBK-CUS-500877</t>
  </si>
  <si>
    <t>DBK-CMP-100878</t>
  </si>
  <si>
    <t>DBK-CUS-500878</t>
  </si>
  <si>
    <t>DBK-CMP-100879</t>
  </si>
  <si>
    <t>DBK-CUS-500879</t>
  </si>
  <si>
    <t>DBK-CMP-100880</t>
  </si>
  <si>
    <t>DBK-CUS-500880</t>
  </si>
  <si>
    <t>DBK-CMP-100881</t>
  </si>
  <si>
    <t>DBK-CUS-500881</t>
  </si>
  <si>
    <t>DBK-CMP-100882</t>
  </si>
  <si>
    <t>DBK-CUS-500882</t>
  </si>
  <si>
    <t>DBK-CMP-100883</t>
  </si>
  <si>
    <t>DBK-CUS-500883</t>
  </si>
  <si>
    <t>DBK-CMP-100884</t>
  </si>
  <si>
    <t>DBK-CUS-500884</t>
  </si>
  <si>
    <t>DBK-CMP-100885</t>
  </si>
  <si>
    <t>DBK-CUS-500885</t>
  </si>
  <si>
    <t>DBK-CMP-100886</t>
  </si>
  <si>
    <t>DBK-CUS-500886</t>
  </si>
  <si>
    <t>DBK-CMP-100887</t>
  </si>
  <si>
    <t>DBK-CUS-500887</t>
  </si>
  <si>
    <t>DBK-CMP-100888</t>
  </si>
  <si>
    <t>DBK-CUS-500888</t>
  </si>
  <si>
    <t>DBK-CMP-100889</t>
  </si>
  <si>
    <t>DBK-CUS-500889</t>
  </si>
  <si>
    <t>DBK-CMP-100890</t>
  </si>
  <si>
    <t>DBK-CUS-500890</t>
  </si>
  <si>
    <t>DBK-CMP-100891</t>
  </si>
  <si>
    <t>DBK-CUS-500891</t>
  </si>
  <si>
    <t>DBK-CMP-100892</t>
  </si>
  <si>
    <t>DBK-CUS-500892</t>
  </si>
  <si>
    <t>DBK-CMP-100893</t>
  </si>
  <si>
    <t>DBK-CUS-500893</t>
  </si>
  <si>
    <t>DBK-CMP-100894</t>
  </si>
  <si>
    <t>DBK-CUS-500894</t>
  </si>
  <si>
    <t>DBK-CMP-100895</t>
  </si>
  <si>
    <t>DBK-CUS-500895</t>
  </si>
  <si>
    <t>DBK-CMP-100896</t>
  </si>
  <si>
    <t>DBK-CUS-500896</t>
  </si>
  <si>
    <t>DBK-CMP-100897</t>
  </si>
  <si>
    <t>DBK-CUS-500897</t>
  </si>
  <si>
    <t>DBK-CMP-100898</t>
  </si>
  <si>
    <t>DBK-CUS-500898</t>
  </si>
  <si>
    <t>DBK-CMP-100899</t>
  </si>
  <si>
    <t>DBK-CUS-500899</t>
  </si>
  <si>
    <t>DBK-CMP-100900</t>
  </si>
  <si>
    <t>DBK-CUS-500900</t>
  </si>
  <si>
    <t>DBK-CMP-100901</t>
  </si>
  <si>
    <t>DBK-CUS-500901</t>
  </si>
  <si>
    <t>DBK-CMP-100902</t>
  </si>
  <si>
    <t>DBK-CUS-500902</t>
  </si>
  <si>
    <t>DBK-CMP-100903</t>
  </si>
  <si>
    <t>DBK-CUS-500903</t>
  </si>
  <si>
    <t>DBK-CMP-100904</t>
  </si>
  <si>
    <t>DBK-CUS-500904</t>
  </si>
  <si>
    <t>DBK-CMP-100905</t>
  </si>
  <si>
    <t>DBK-CUS-500905</t>
  </si>
  <si>
    <t>DBK-CMP-100906</t>
  </si>
  <si>
    <t>DBK-CUS-500906</t>
  </si>
  <si>
    <t>DBK-CMP-100907</t>
  </si>
  <si>
    <t>DBK-CUS-500907</t>
  </si>
  <si>
    <t>DBK-CMP-100908</t>
  </si>
  <si>
    <t>DBK-CUS-500908</t>
  </si>
  <si>
    <t>DBK-CMP-100909</t>
  </si>
  <si>
    <t>DBK-CUS-500909</t>
  </si>
  <si>
    <t>DBK-CMP-100910</t>
  </si>
  <si>
    <t>DBK-CUS-500910</t>
  </si>
  <si>
    <t>DBK-CMP-100911</t>
  </si>
  <si>
    <t>DBK-CUS-500911</t>
  </si>
  <si>
    <t>DBK-CMP-100912</t>
  </si>
  <si>
    <t>DBK-CUS-500912</t>
  </si>
  <si>
    <t>DBK-CMP-100913</t>
  </si>
  <si>
    <t>DBK-CUS-500913</t>
  </si>
  <si>
    <t>DBK-CMP-100914</t>
  </si>
  <si>
    <t>DBK-CUS-500914</t>
  </si>
  <si>
    <t>DBK-CMP-100915</t>
  </si>
  <si>
    <t>DBK-CUS-500915</t>
  </si>
  <si>
    <t>DBK-CMP-100916</t>
  </si>
  <si>
    <t>DBK-CUS-500916</t>
  </si>
  <si>
    <t>DBK-CMP-100917</t>
  </si>
  <si>
    <t>DBK-CUS-500917</t>
  </si>
  <si>
    <t>DBK-CMP-100918</t>
  </si>
  <si>
    <t>DBK-CUS-500918</t>
  </si>
  <si>
    <t>DBK-CMP-100919</t>
  </si>
  <si>
    <t>DBK-CUS-500919</t>
  </si>
  <si>
    <t>DBK-CMP-100920</t>
  </si>
  <si>
    <t>DBK-CUS-500920</t>
  </si>
  <si>
    <t>DBK-CMP-100921</t>
  </si>
  <si>
    <t>DBK-CUS-500921</t>
  </si>
  <si>
    <t>DBK-CMP-100922</t>
  </si>
  <si>
    <t>DBK-CUS-500922</t>
  </si>
  <si>
    <t>DBK-CMP-100923</t>
  </si>
  <si>
    <t>DBK-CUS-500923</t>
  </si>
  <si>
    <t>DBK-CMP-100924</t>
  </si>
  <si>
    <t>DBK-CUS-500924</t>
  </si>
  <si>
    <t>DBK-CMP-100925</t>
  </si>
  <si>
    <t>DBK-CUS-500925</t>
  </si>
  <si>
    <t>DBK-CMP-100926</t>
  </si>
  <si>
    <t>DBK-CUS-500926</t>
  </si>
  <si>
    <t>DBK-CMP-100927</t>
  </si>
  <si>
    <t>DBK-CUS-500927</t>
  </si>
  <si>
    <t>DBK-CMP-100928</t>
  </si>
  <si>
    <t>DBK-CUS-500928</t>
  </si>
  <si>
    <t>DBK-CMP-100929</t>
  </si>
  <si>
    <t>DBK-CUS-500929</t>
  </si>
  <si>
    <t>DBK-CMP-100930</t>
  </si>
  <si>
    <t>DBK-CUS-500930</t>
  </si>
  <si>
    <t>DBK-CMP-100931</t>
  </si>
  <si>
    <t>DBK-CUS-500931</t>
  </si>
  <si>
    <t>DBK-CMP-100932</t>
  </si>
  <si>
    <t>DBK-CUS-500932</t>
  </si>
  <si>
    <t>DBK-CMP-100933</t>
  </si>
  <si>
    <t>DBK-CUS-500933</t>
  </si>
  <si>
    <t>DBK-CMP-100934</t>
  </si>
  <si>
    <t>DBK-CUS-500934</t>
  </si>
  <si>
    <t>DBK-CMP-100935</t>
  </si>
  <si>
    <t>DBK-CUS-500935</t>
  </si>
  <si>
    <t>DBK-CMP-100936</t>
  </si>
  <si>
    <t>DBK-CUS-500936</t>
  </si>
  <si>
    <t>DBK-CMP-100937</t>
  </si>
  <si>
    <t>DBK-CUS-500937</t>
  </si>
  <si>
    <t>DBK-CMP-100938</t>
  </si>
  <si>
    <t>DBK-CUS-500938</t>
  </si>
  <si>
    <t>DBK-CMP-100939</t>
  </si>
  <si>
    <t>DBK-CUS-500939</t>
  </si>
  <si>
    <t>DBK-CMP-100940</t>
  </si>
  <si>
    <t>DBK-CUS-500940</t>
  </si>
  <si>
    <t>DBK-CMP-100941</t>
  </si>
  <si>
    <t>DBK-CUS-500941</t>
  </si>
  <si>
    <t>DBK-CMP-100942</t>
  </si>
  <si>
    <t>DBK-CUS-500942</t>
  </si>
  <si>
    <t>DBK-CMP-100943</t>
  </si>
  <si>
    <t>DBK-CUS-500943</t>
  </si>
  <si>
    <t>DBK-CMP-100944</t>
  </si>
  <si>
    <t>DBK-CUS-500944</t>
  </si>
  <si>
    <t>DBK-CMP-100945</t>
  </si>
  <si>
    <t>DBK-CUS-500945</t>
  </si>
  <si>
    <t>DBK-CMP-100946</t>
  </si>
  <si>
    <t>DBK-CUS-500946</t>
  </si>
  <si>
    <t>DBK-CMP-100947</t>
  </si>
  <si>
    <t>DBK-CUS-500947</t>
  </si>
  <si>
    <t>DBK-CMP-100948</t>
  </si>
  <si>
    <t>DBK-CUS-500948</t>
  </si>
  <si>
    <t>DBK-CMP-100949</t>
  </si>
  <si>
    <t>DBK-CUS-500949</t>
  </si>
  <si>
    <t>DBK-CMP-100950</t>
  </si>
  <si>
    <t>DBK-CUS-500950</t>
  </si>
  <si>
    <t>DBK-CMP-100951</t>
  </si>
  <si>
    <t>DBK-CUS-500951</t>
  </si>
  <si>
    <t>DBK-CMP-100952</t>
  </si>
  <si>
    <t>DBK-CUS-500952</t>
  </si>
  <si>
    <t>DBK-CMP-100953</t>
  </si>
  <si>
    <t>DBK-CUS-500953</t>
  </si>
  <si>
    <t>DBK-CMP-100954</t>
  </si>
  <si>
    <t>DBK-CUS-500954</t>
  </si>
  <si>
    <t>DBK-CMP-100955</t>
  </si>
  <si>
    <t>DBK-CUS-500955</t>
  </si>
  <si>
    <t>DBK-CMP-100956</t>
  </si>
  <si>
    <t>DBK-CUS-500956</t>
  </si>
  <si>
    <t>DBK-CMP-100957</t>
  </si>
  <si>
    <t>DBK-CUS-500957</t>
  </si>
  <si>
    <t>DBK-CMP-100958</t>
  </si>
  <si>
    <t>DBK-CUS-500958</t>
  </si>
  <si>
    <t>DBK-CMP-100959</t>
  </si>
  <si>
    <t>DBK-CUS-500959</t>
  </si>
  <si>
    <t>DBK-CMP-100960</t>
  </si>
  <si>
    <t>DBK-CUS-500960</t>
  </si>
  <si>
    <t>DBK-CMP-100961</t>
  </si>
  <si>
    <t>DBK-CUS-500961</t>
  </si>
  <si>
    <t>DBK-CMP-100962</t>
  </si>
  <si>
    <t>DBK-CUS-500962</t>
  </si>
  <si>
    <t>DBK-CMP-100963</t>
  </si>
  <si>
    <t>DBK-CUS-500963</t>
  </si>
  <si>
    <t>DBK-CMP-100964</t>
  </si>
  <si>
    <t>DBK-CUS-500964</t>
  </si>
  <si>
    <t>DBK-CMP-100965</t>
  </si>
  <si>
    <t>DBK-CUS-500965</t>
  </si>
  <si>
    <t>DBK-CMP-100966</t>
  </si>
  <si>
    <t>DBK-CUS-500966</t>
  </si>
  <si>
    <t>DBK-CMP-100967</t>
  </si>
  <si>
    <t>DBK-CUS-500967</t>
  </si>
  <si>
    <t>DBK-CMP-100968</t>
  </si>
  <si>
    <t>DBK-CUS-500968</t>
  </si>
  <si>
    <t>DBK-CMP-100969</t>
  </si>
  <si>
    <t>DBK-CUS-500969</t>
  </si>
  <si>
    <t>DBK-CMP-100970</t>
  </si>
  <si>
    <t>DBK-CUS-500970</t>
  </si>
  <si>
    <t>DBK-CMP-100971</t>
  </si>
  <si>
    <t>DBK-CUS-500971</t>
  </si>
  <si>
    <t>DBK-CMP-100972</t>
  </si>
  <si>
    <t>DBK-CUS-500972</t>
  </si>
  <si>
    <t>DBK-CMP-100973</t>
  </si>
  <si>
    <t>DBK-CUS-500973</t>
  </si>
  <si>
    <t>DBK-CMP-100974</t>
  </si>
  <si>
    <t>DBK-CUS-500974</t>
  </si>
  <si>
    <t>DBK-CMP-100975</t>
  </si>
  <si>
    <t>DBK-CUS-500975</t>
  </si>
  <si>
    <t>DBK-CMP-100976</t>
  </si>
  <si>
    <t>DBK-CUS-500976</t>
  </si>
  <si>
    <t>DBK-CMP-100977</t>
  </si>
  <si>
    <t>DBK-CUS-500977</t>
  </si>
  <si>
    <t>DBK-CMP-100978</t>
  </si>
  <si>
    <t>DBK-CUS-500978</t>
  </si>
  <si>
    <t>DBK-CMP-100979</t>
  </si>
  <si>
    <t>DBK-CUS-500979</t>
  </si>
  <si>
    <t>DBK-CMP-100980</t>
  </si>
  <si>
    <t>DBK-CUS-500980</t>
  </si>
  <si>
    <t>DBK-CMP-100981</t>
  </si>
  <si>
    <t>DBK-CUS-500981</t>
  </si>
  <si>
    <t>DBK-CMP-100982</t>
  </si>
  <si>
    <t>DBK-CUS-500982</t>
  </si>
  <si>
    <t>DBK-CMP-100983</t>
  </si>
  <si>
    <t>DBK-CUS-500983</t>
  </si>
  <si>
    <t>DBK-CMP-100984</t>
  </si>
  <si>
    <t>DBK-CUS-500984</t>
  </si>
  <si>
    <t>DBK-CMP-100985</t>
  </si>
  <si>
    <t>DBK-CUS-500985</t>
  </si>
  <si>
    <t>DBK-CMP-100986</t>
  </si>
  <si>
    <t>DBK-CUS-500986</t>
  </si>
  <si>
    <t>DBK-CMP-100987</t>
  </si>
  <si>
    <t>DBK-CUS-500987</t>
  </si>
  <si>
    <t>DBK-CMP-100988</t>
  </si>
  <si>
    <t>DBK-CUS-500988</t>
  </si>
  <si>
    <t>DBK-CMP-100989</t>
  </si>
  <si>
    <t>DBK-CUS-500989</t>
  </si>
  <si>
    <t>DBK-CMP-100990</t>
  </si>
  <si>
    <t>DBK-CUS-500990</t>
  </si>
  <si>
    <t>DBK-CMP-100991</t>
  </si>
  <si>
    <t>DBK-CUS-500991</t>
  </si>
  <si>
    <t>DBK-CMP-100992</t>
  </si>
  <si>
    <t>DBK-CUS-500992</t>
  </si>
  <si>
    <t>DBK-CMP-100993</t>
  </si>
  <si>
    <t>DBK-CUS-500993</t>
  </si>
  <si>
    <t>DBK-CMP-100994</t>
  </si>
  <si>
    <t>DBK-CUS-500994</t>
  </si>
  <si>
    <t>DBK-CMP-100995</t>
  </si>
  <si>
    <t>DBK-CUS-500995</t>
  </si>
  <si>
    <t>DBK-CMP-100996</t>
  </si>
  <si>
    <t>DBK-CUS-500996</t>
  </si>
  <si>
    <t>DBK-CMP-100997</t>
  </si>
  <si>
    <t>DBK-CUS-500997</t>
  </si>
  <si>
    <t>DBK-CMP-100998</t>
  </si>
  <si>
    <t>DBK-CUS-500998</t>
  </si>
  <si>
    <t>DBK-CMP-100999</t>
  </si>
  <si>
    <t>DBK-CUS-500999</t>
  </si>
  <si>
    <t>DBK-CMP-101000</t>
  </si>
  <si>
    <t>DBK-CUS-501000</t>
  </si>
  <si>
    <t>DBK-CMP-101001</t>
  </si>
  <si>
    <t>DBK-CUS-501001</t>
  </si>
  <si>
    <t>DBK-CMP-101002</t>
  </si>
  <si>
    <t>DBK-CUS-501002</t>
  </si>
  <si>
    <t>DBK-CMP-101003</t>
  </si>
  <si>
    <t>DBK-CUS-501003</t>
  </si>
  <si>
    <t>DBK-CMP-101004</t>
  </si>
  <si>
    <t>DBK-CUS-501004</t>
  </si>
  <si>
    <t>DBK-CMP-101005</t>
  </si>
  <si>
    <t>DBK-CUS-501005</t>
  </si>
  <si>
    <t>DBK-CMP-101006</t>
  </si>
  <si>
    <t>DBK-CUS-501006</t>
  </si>
  <si>
    <t>DBK-CMP-101007</t>
  </si>
  <si>
    <t>DBK-CUS-501007</t>
  </si>
  <si>
    <t>DBK-CMP-101008</t>
  </si>
  <si>
    <t>DBK-CUS-501008</t>
  </si>
  <si>
    <t>DBK-CMP-101009</t>
  </si>
  <si>
    <t>DBK-CUS-501009</t>
  </si>
  <si>
    <t>DBK-CMP-101010</t>
  </si>
  <si>
    <t>DBK-CUS-501010</t>
  </si>
  <si>
    <t>DBK-CMP-101011</t>
  </si>
  <si>
    <t>DBK-CUS-501011</t>
  </si>
  <si>
    <t>DBK-CMP-101012</t>
  </si>
  <si>
    <t>DBK-CUS-501012</t>
  </si>
  <si>
    <t>DBK-CMP-101013</t>
  </si>
  <si>
    <t>DBK-CUS-501013</t>
  </si>
  <si>
    <t>DBK-CMP-101014</t>
  </si>
  <si>
    <t>DBK-CUS-501014</t>
  </si>
  <si>
    <t>DBK-CMP-101015</t>
  </si>
  <si>
    <t>DBK-CUS-501015</t>
  </si>
  <si>
    <t>DBK-CMP-101016</t>
  </si>
  <si>
    <t>DBK-CUS-501016</t>
  </si>
  <si>
    <t>DBK-CMP-101017</t>
  </si>
  <si>
    <t>DBK-CUS-501017</t>
  </si>
  <si>
    <t>DBK-CMP-101018</t>
  </si>
  <si>
    <t>DBK-CUS-501018</t>
  </si>
  <si>
    <t>DBK-CMP-101019</t>
  </si>
  <si>
    <t>DBK-CUS-501019</t>
  </si>
  <si>
    <t>DBK-CMP-101020</t>
  </si>
  <si>
    <t>DBK-CUS-501020</t>
  </si>
  <si>
    <t>DBK-CMP-101021</t>
  </si>
  <si>
    <t>DBK-CUS-501021</t>
  </si>
  <si>
    <t>DBK-CMP-101022</t>
  </si>
  <si>
    <t>DBK-CUS-501022</t>
  </si>
  <si>
    <t>DBK-CMP-101023</t>
  </si>
  <si>
    <t>DBK-CUS-501023</t>
  </si>
  <si>
    <t>DBK-CMP-101024</t>
  </si>
  <si>
    <t>DBK-CUS-501024</t>
  </si>
  <si>
    <t>DBK-CMP-101025</t>
  </si>
  <si>
    <t>DBK-CUS-501025</t>
  </si>
  <si>
    <t>DBK-CMP-101026</t>
  </si>
  <si>
    <t>DBK-CUS-501026</t>
  </si>
  <si>
    <t>DBK-CMP-101027</t>
  </si>
  <si>
    <t>DBK-CUS-501027</t>
  </si>
  <si>
    <t>DBK-CMP-101028</t>
  </si>
  <si>
    <t>DBK-CUS-501028</t>
  </si>
  <si>
    <t>DBK-CMP-101029</t>
  </si>
  <si>
    <t>DBK-CUS-501029</t>
  </si>
  <si>
    <t>DBK-CMP-101030</t>
  </si>
  <si>
    <t>DBK-CUS-501030</t>
  </si>
  <si>
    <t>DBK-CMP-101031</t>
  </si>
  <si>
    <t>DBK-CUS-501031</t>
  </si>
  <si>
    <t>DBK-CMP-101032</t>
  </si>
  <si>
    <t>DBK-CUS-501032</t>
  </si>
  <si>
    <t>DBK-CMP-101033</t>
  </si>
  <si>
    <t>DBK-CUS-501033</t>
  </si>
  <si>
    <t>DBK-CMP-101034</t>
  </si>
  <si>
    <t>DBK-CUS-501034</t>
  </si>
  <si>
    <t>DBK-CMP-101035</t>
  </si>
  <si>
    <t>DBK-CUS-501035</t>
  </si>
  <si>
    <t>DBK-CMP-101036</t>
  </si>
  <si>
    <t>DBK-CUS-501036</t>
  </si>
  <si>
    <t>DBK-CMP-101037</t>
  </si>
  <si>
    <t>DBK-CUS-501037</t>
  </si>
  <si>
    <t>DBK-CMP-101038</t>
  </si>
  <si>
    <t>DBK-CUS-501038</t>
  </si>
  <si>
    <t>DBK-CMP-101039</t>
  </si>
  <si>
    <t>DBK-CUS-501039</t>
  </si>
  <si>
    <t>DBK-CMP-101040</t>
  </si>
  <si>
    <t>DBK-CUS-501040</t>
  </si>
  <si>
    <t>DBK-CMP-101041</t>
  </si>
  <si>
    <t>DBK-CUS-501041</t>
  </si>
  <si>
    <t>DBK-CMP-101042</t>
  </si>
  <si>
    <t>DBK-CUS-501042</t>
  </si>
  <si>
    <t>DBK-CMP-101043</t>
  </si>
  <si>
    <t>DBK-CUS-501043</t>
  </si>
  <si>
    <t>DBK-CMP-101044</t>
  </si>
  <si>
    <t>DBK-CUS-501044</t>
  </si>
  <si>
    <t>DBK-CMP-101045</t>
  </si>
  <si>
    <t>DBK-CUS-501045</t>
  </si>
  <si>
    <t>DBK-CMP-101046</t>
  </si>
  <si>
    <t>DBK-CUS-501046</t>
  </si>
  <si>
    <t>DBK-CMP-101047</t>
  </si>
  <si>
    <t>DBK-CUS-501047</t>
  </si>
  <si>
    <t>DBK-CMP-101048</t>
  </si>
  <si>
    <t>DBK-CUS-501048</t>
  </si>
  <si>
    <t>DBK-CMP-101049</t>
  </si>
  <si>
    <t>DBK-CUS-501049</t>
  </si>
  <si>
    <t>DBK-CMP-101050</t>
  </si>
  <si>
    <t>DBK-CUS-501050</t>
  </si>
  <si>
    <t>DBK-CMP-101051</t>
  </si>
  <si>
    <t>DBK-CUS-501051</t>
  </si>
  <si>
    <t>DBK-CMP-101052</t>
  </si>
  <si>
    <t>DBK-CUS-501052</t>
  </si>
  <si>
    <t>DBK-CMP-101053</t>
  </si>
  <si>
    <t>DBK-CUS-501053</t>
  </si>
  <si>
    <t>DBK-CMP-101054</t>
  </si>
  <si>
    <t>DBK-CUS-501054</t>
  </si>
  <si>
    <t>DBK-CMP-101055</t>
  </si>
  <si>
    <t>DBK-CUS-501055</t>
  </si>
  <si>
    <t>DBK-CMP-101056</t>
  </si>
  <si>
    <t>DBK-CUS-501056</t>
  </si>
  <si>
    <t>DBK-CMP-101057</t>
  </si>
  <si>
    <t>DBK-CUS-501057</t>
  </si>
  <si>
    <t>DBK-CMP-101058</t>
  </si>
  <si>
    <t>DBK-CUS-501058</t>
  </si>
  <si>
    <t>DBK-CMP-101059</t>
  </si>
  <si>
    <t>DBK-CUS-501059</t>
  </si>
  <si>
    <t>DBK-CMP-101060</t>
  </si>
  <si>
    <t>DBK-CUS-501060</t>
  </si>
  <si>
    <t>DBK-CMP-101061</t>
  </si>
  <si>
    <t>DBK-CUS-501061</t>
  </si>
  <si>
    <t>DBK-CMP-101062</t>
  </si>
  <si>
    <t>DBK-CUS-501062</t>
  </si>
  <si>
    <t>DBK-CMP-101063</t>
  </si>
  <si>
    <t>DBK-CUS-501063</t>
  </si>
  <si>
    <t>DBK-CMP-101064</t>
  </si>
  <si>
    <t>DBK-CUS-501064</t>
  </si>
  <si>
    <t>DBK-CMP-101065</t>
  </si>
  <si>
    <t>DBK-CUS-501065</t>
  </si>
  <si>
    <t>DBK-CMP-101066</t>
  </si>
  <si>
    <t>DBK-CUS-501066</t>
  </si>
  <si>
    <t>DBK-CMP-101067</t>
  </si>
  <si>
    <t>DBK-CUS-501067</t>
  </si>
  <si>
    <t>DBK-CMP-101068</t>
  </si>
  <si>
    <t>DBK-CUS-501068</t>
  </si>
  <si>
    <t>DBK-CMP-101069</t>
  </si>
  <si>
    <t>DBK-CUS-501069</t>
  </si>
  <si>
    <t>DBK-CMP-101070</t>
  </si>
  <si>
    <t>DBK-CUS-501070</t>
  </si>
  <si>
    <t>DBK-CMP-101071</t>
  </si>
  <si>
    <t>DBK-CUS-501071</t>
  </si>
  <si>
    <t>DBK-CMP-101072</t>
  </si>
  <si>
    <t>DBK-CUS-501072</t>
  </si>
  <si>
    <t>DBK-CMP-101073</t>
  </si>
  <si>
    <t>DBK-CUS-501073</t>
  </si>
  <si>
    <t>DBK-CMP-101074</t>
  </si>
  <si>
    <t>DBK-CUS-501074</t>
  </si>
  <si>
    <t>DBK-CMP-101075</t>
  </si>
  <si>
    <t>DBK-CUS-501075</t>
  </si>
  <si>
    <t>DBK-CMP-101076</t>
  </si>
  <si>
    <t>DBK-CUS-501076</t>
  </si>
  <si>
    <t>DBK-CMP-101077</t>
  </si>
  <si>
    <t>DBK-CUS-501077</t>
  </si>
  <si>
    <t>DBK-CMP-101078</t>
  </si>
  <si>
    <t>DBK-CUS-501078</t>
  </si>
  <si>
    <t>DBK-CMP-101079</t>
  </si>
  <si>
    <t>DBK-CUS-501079</t>
  </si>
  <si>
    <t>DBK-CMP-101080</t>
  </si>
  <si>
    <t>DBK-CUS-501080</t>
  </si>
  <si>
    <t>DBK-CMP-101081</t>
  </si>
  <si>
    <t>DBK-CUS-501081</t>
  </si>
  <si>
    <t>DBK-CMP-101082</t>
  </si>
  <si>
    <t>DBK-CUS-501082</t>
  </si>
  <si>
    <t>DBK-CMP-101083</t>
  </si>
  <si>
    <t>DBK-CUS-501083</t>
  </si>
  <si>
    <t>DBK-CMP-101084</t>
  </si>
  <si>
    <t>DBK-CUS-501084</t>
  </si>
  <si>
    <t>DBK-CMP-101085</t>
  </si>
  <si>
    <t>DBK-CUS-501085</t>
  </si>
  <si>
    <t>DBK-CMP-101086</t>
  </si>
  <si>
    <t>DBK-CUS-501086</t>
  </si>
  <si>
    <t>DBK-CMP-101087</t>
  </si>
  <si>
    <t>DBK-CUS-501087</t>
  </si>
  <si>
    <t>DBK-CMP-101088</t>
  </si>
  <si>
    <t>DBK-CUS-501088</t>
  </si>
  <si>
    <t>DBK-CMP-101089</t>
  </si>
  <si>
    <t>DBK-CUS-501089</t>
  </si>
  <si>
    <t>DBK-CMP-101090</t>
  </si>
  <si>
    <t>DBK-CUS-501090</t>
  </si>
  <si>
    <t>DBK-CMP-101091</t>
  </si>
  <si>
    <t>DBK-CUS-501091</t>
  </si>
  <si>
    <t>DBK-CMP-101092</t>
  </si>
  <si>
    <t>DBK-CUS-501092</t>
  </si>
  <si>
    <t>DBK-CMP-101093</t>
  </si>
  <si>
    <t>DBK-CUS-501093</t>
  </si>
  <si>
    <t>DBK-CMP-101094</t>
  </si>
  <si>
    <t>DBK-CUS-501094</t>
  </si>
  <si>
    <t>DBK-CMP-101095</t>
  </si>
  <si>
    <t>DBK-CUS-501095</t>
  </si>
  <si>
    <t>DBK-CMP-101096</t>
  </si>
  <si>
    <t>DBK-CUS-501096</t>
  </si>
  <si>
    <t>DBK-CMP-101097</t>
  </si>
  <si>
    <t>DBK-CUS-501097</t>
  </si>
  <si>
    <t>DBK-CMP-101098</t>
  </si>
  <si>
    <t>DBK-CUS-501098</t>
  </si>
  <si>
    <t>DBK-CMP-101099</t>
  </si>
  <si>
    <t>DBK-CUS-501099</t>
  </si>
  <si>
    <t>DBK-CMP-101100</t>
  </si>
  <si>
    <t>DBK-CUS-501100</t>
  </si>
  <si>
    <t>DBK-CMP-101101</t>
  </si>
  <si>
    <t>DBK-CUS-501101</t>
  </si>
  <si>
    <t>DBK-CMP-101102</t>
  </si>
  <si>
    <t>DBK-CUS-501102</t>
  </si>
  <si>
    <t>DBK-CMP-101103</t>
  </si>
  <si>
    <t>DBK-CUS-501103</t>
  </si>
  <si>
    <t>DBK-CMP-101104</t>
  </si>
  <si>
    <t>DBK-CUS-501104</t>
  </si>
  <si>
    <t>DBK-CMP-101105</t>
  </si>
  <si>
    <t>DBK-CUS-501105</t>
  </si>
  <si>
    <t>DBK-CMP-101106</t>
  </si>
  <si>
    <t>DBK-CUS-501106</t>
  </si>
  <si>
    <t>DBK-CMP-101107</t>
  </si>
  <si>
    <t>DBK-CUS-501107</t>
  </si>
  <si>
    <t>DBK-CMP-101108</t>
  </si>
  <si>
    <t>DBK-CUS-501108</t>
  </si>
  <si>
    <t>DBK-CMP-101109</t>
  </si>
  <si>
    <t>DBK-CUS-501109</t>
  </si>
  <si>
    <t>DBK-CMP-101110</t>
  </si>
  <si>
    <t>DBK-CUS-501110</t>
  </si>
  <si>
    <t>DBK-CMP-101111</t>
  </si>
  <si>
    <t>DBK-CUS-501111</t>
  </si>
  <si>
    <t>DBK-CMP-101112</t>
  </si>
  <si>
    <t>DBK-CUS-501112</t>
  </si>
  <si>
    <t>DBK-CMP-101113</t>
  </si>
  <si>
    <t>DBK-CUS-501113</t>
  </si>
  <si>
    <t>DBK-CMP-101114</t>
  </si>
  <si>
    <t>DBK-CUS-501114</t>
  </si>
  <si>
    <t>DBK-CMP-101115</t>
  </si>
  <si>
    <t>DBK-CUS-501115</t>
  </si>
  <si>
    <t>DBK-CMP-101116</t>
  </si>
  <si>
    <t>DBK-CUS-501116</t>
  </si>
  <si>
    <t>DBK-CMP-101117</t>
  </si>
  <si>
    <t>DBK-CUS-501117</t>
  </si>
  <si>
    <t>DBK-CMP-101118</t>
  </si>
  <si>
    <t>DBK-CUS-501118</t>
  </si>
  <si>
    <t>DBK-CMP-101119</t>
  </si>
  <si>
    <t>DBK-CUS-501119</t>
  </si>
  <si>
    <t>DBK-CMP-101120</t>
  </si>
  <si>
    <t>DBK-CUS-501120</t>
  </si>
  <si>
    <t>DBK-CMP-101121</t>
  </si>
  <si>
    <t>DBK-CUS-501121</t>
  </si>
  <si>
    <t>DBK-CMP-101122</t>
  </si>
  <si>
    <t>DBK-CUS-501122</t>
  </si>
  <si>
    <t>DBK-CMP-101123</t>
  </si>
  <si>
    <t>DBK-CUS-501123</t>
  </si>
  <si>
    <t>DBK-CMP-101124</t>
  </si>
  <si>
    <t>DBK-CUS-501124</t>
  </si>
  <si>
    <t>DBK-CMP-101125</t>
  </si>
  <si>
    <t>DBK-CUS-501125</t>
  </si>
  <si>
    <t>DBK-CMP-101126</t>
  </si>
  <si>
    <t>DBK-CUS-501126</t>
  </si>
  <si>
    <t>DBK-CMP-101127</t>
  </si>
  <si>
    <t>DBK-CUS-501127</t>
  </si>
  <si>
    <t>DBK-CMP-101128</t>
  </si>
  <si>
    <t>DBK-CUS-501128</t>
  </si>
  <si>
    <t>DBK-CMP-101129</t>
  </si>
  <si>
    <t>DBK-CUS-501129</t>
  </si>
  <si>
    <t>DBK-CMP-101130</t>
  </si>
  <si>
    <t>DBK-CUS-501130</t>
  </si>
  <si>
    <t>DBK-CMP-101131</t>
  </si>
  <si>
    <t>DBK-CUS-501131</t>
  </si>
  <si>
    <t>DBK-CMP-101132</t>
  </si>
  <si>
    <t>DBK-CUS-501132</t>
  </si>
  <si>
    <t>DBK-CMP-101133</t>
  </si>
  <si>
    <t>DBK-CUS-501133</t>
  </si>
  <si>
    <t>DBK-CMP-101134</t>
  </si>
  <si>
    <t>DBK-CUS-501134</t>
  </si>
  <si>
    <t>DBK-CMP-101135</t>
  </si>
  <si>
    <t>DBK-CUS-501135</t>
  </si>
  <si>
    <t>DBK-CMP-101136</t>
  </si>
  <si>
    <t>DBK-CUS-501136</t>
  </si>
  <si>
    <t>DBK-CMP-101137</t>
  </si>
  <si>
    <t>DBK-CUS-501137</t>
  </si>
  <si>
    <t>DBK-CMP-101138</t>
  </si>
  <si>
    <t>DBK-CUS-501138</t>
  </si>
  <si>
    <t>DBK-CMP-101139</t>
  </si>
  <si>
    <t>DBK-CUS-501139</t>
  </si>
  <si>
    <t>DBK-CMP-101140</t>
  </si>
  <si>
    <t>DBK-CUS-501140</t>
  </si>
  <si>
    <t>DBK-CMP-101141</t>
  </si>
  <si>
    <t>DBK-CUS-501141</t>
  </si>
  <si>
    <t>DBK-CMP-101142</t>
  </si>
  <si>
    <t>DBK-CUS-501142</t>
  </si>
  <si>
    <t>DBK-CMP-101143</t>
  </si>
  <si>
    <t>DBK-CUS-501143</t>
  </si>
  <si>
    <t>DBK-CMP-101144</t>
  </si>
  <si>
    <t>DBK-CUS-501144</t>
  </si>
  <si>
    <t>DBK-CMP-101145</t>
  </si>
  <si>
    <t>DBK-CUS-501145</t>
  </si>
  <si>
    <t>DBK-CMP-101146</t>
  </si>
  <si>
    <t>DBK-CUS-501146</t>
  </si>
  <si>
    <t>DBK-CMP-101147</t>
  </si>
  <si>
    <t>DBK-CUS-501147</t>
  </si>
  <si>
    <t>DBK-CMP-101148</t>
  </si>
  <si>
    <t>DBK-CUS-501148</t>
  </si>
  <si>
    <t>DBK-CMP-101149</t>
  </si>
  <si>
    <t>DBK-CUS-501149</t>
  </si>
  <si>
    <t>DBK-CMP-101150</t>
  </si>
  <si>
    <t>DBK-CUS-501150</t>
  </si>
  <si>
    <t>DBK-CMP-101151</t>
  </si>
  <si>
    <t>DBK-CUS-501151</t>
  </si>
  <si>
    <t>DBK-CMP-101152</t>
  </si>
  <si>
    <t>DBK-CUS-501152</t>
  </si>
  <si>
    <t>DBK-CMP-101153</t>
  </si>
  <si>
    <t>DBK-CUS-501153</t>
  </si>
  <si>
    <t>DBK-CMP-101154</t>
  </si>
  <si>
    <t>DBK-CUS-501154</t>
  </si>
  <si>
    <t>DBK-CMP-101155</t>
  </si>
  <si>
    <t>DBK-CUS-501155</t>
  </si>
  <si>
    <t>DBK-CMP-101156</t>
  </si>
  <si>
    <t>DBK-CUS-501156</t>
  </si>
  <si>
    <t>DBK-CMP-101157</t>
  </si>
  <si>
    <t>DBK-CUS-501157</t>
  </si>
  <si>
    <t>DBK-CMP-101158</t>
  </si>
  <si>
    <t>DBK-CUS-501158</t>
  </si>
  <si>
    <t>DBK-CMP-101159</t>
  </si>
  <si>
    <t>DBK-CUS-501159</t>
  </si>
  <si>
    <t>DBK-CMP-101160</t>
  </si>
  <si>
    <t>DBK-CUS-501160</t>
  </si>
  <si>
    <t>DBK-CMP-101161</t>
  </si>
  <si>
    <t>DBK-CUS-501161</t>
  </si>
  <si>
    <t>DBK-CMP-101162</t>
  </si>
  <si>
    <t>DBK-CUS-501162</t>
  </si>
  <si>
    <t>DBK-CMP-101163</t>
  </si>
  <si>
    <t>DBK-CUS-501163</t>
  </si>
  <si>
    <t>DBK-CMP-101164</t>
  </si>
  <si>
    <t>DBK-CUS-501164</t>
  </si>
  <si>
    <t>DBK-CMP-101165</t>
  </si>
  <si>
    <t>DBK-CUS-501165</t>
  </si>
  <si>
    <t>DBK-CMP-101166</t>
  </si>
  <si>
    <t>DBK-CUS-501166</t>
  </si>
  <si>
    <t>DBK-CMP-101167</t>
  </si>
  <si>
    <t>DBK-CUS-501167</t>
  </si>
  <si>
    <t>DBK-CMP-101168</t>
  </si>
  <si>
    <t>DBK-CUS-501168</t>
  </si>
  <si>
    <t>DBK-CMP-101169</t>
  </si>
  <si>
    <t>DBK-CUS-501169</t>
  </si>
  <si>
    <t>DBK-CMP-101170</t>
  </si>
  <si>
    <t>DBK-CUS-501170</t>
  </si>
  <si>
    <t>DBK-CMP-101171</t>
  </si>
  <si>
    <t>DBK-CUS-501171</t>
  </si>
  <si>
    <t>DBK-CMP-101172</t>
  </si>
  <si>
    <t>DBK-CUS-501172</t>
  </si>
  <si>
    <t>DBK-CMP-101173</t>
  </si>
  <si>
    <t>DBK-CUS-501173</t>
  </si>
  <si>
    <t>DBK-CMP-101174</t>
  </si>
  <si>
    <t>DBK-CUS-501174</t>
  </si>
  <si>
    <t>DBK-CMP-101175</t>
  </si>
  <si>
    <t>DBK-CUS-501175</t>
  </si>
  <si>
    <t>DBK-CMP-101176</t>
  </si>
  <si>
    <t>DBK-CUS-501176</t>
  </si>
  <si>
    <t>DBK-CMP-101177</t>
  </si>
  <si>
    <t>DBK-CUS-501177</t>
  </si>
  <si>
    <t>DBK-CMP-101178</t>
  </si>
  <si>
    <t>DBK-CUS-501178</t>
  </si>
  <si>
    <t>DBK-CMP-101179</t>
  </si>
  <si>
    <t>DBK-CUS-501179</t>
  </si>
  <si>
    <t>DBK-CMP-101180</t>
  </si>
  <si>
    <t>DBK-CUS-501180</t>
  </si>
  <si>
    <t>DBK-CMP-101181</t>
  </si>
  <si>
    <t>DBK-CUS-501181</t>
  </si>
  <si>
    <t>DBK-CMP-101182</t>
  </si>
  <si>
    <t>DBK-CUS-501182</t>
  </si>
  <si>
    <t>DBK-CMP-101183</t>
  </si>
  <si>
    <t>DBK-CUS-501183</t>
  </si>
  <si>
    <t>DBK-CMP-101184</t>
  </si>
  <si>
    <t>DBK-CUS-501184</t>
  </si>
  <si>
    <t>DBK-CMP-101185</t>
  </si>
  <si>
    <t>DBK-CUS-501185</t>
  </si>
  <si>
    <t>DBK-CMP-101186</t>
  </si>
  <si>
    <t>DBK-CUS-501186</t>
  </si>
  <si>
    <t>DBK-CMP-101187</t>
  </si>
  <si>
    <t>DBK-CUS-501187</t>
  </si>
  <si>
    <t>DBK-CMP-101188</t>
  </si>
  <si>
    <t>DBK-CUS-501188</t>
  </si>
  <si>
    <t>DBK-CMP-101189</t>
  </si>
  <si>
    <t>DBK-CUS-501189</t>
  </si>
  <si>
    <t>DBK-CMP-101190</t>
  </si>
  <si>
    <t>DBK-CUS-501190</t>
  </si>
  <si>
    <t>DBK-CMP-101191</t>
  </si>
  <si>
    <t>DBK-CUS-501191</t>
  </si>
  <si>
    <t>DBK-CMP-101192</t>
  </si>
  <si>
    <t>DBK-CUS-501192</t>
  </si>
  <si>
    <t>DBK-CMP-101193</t>
  </si>
  <si>
    <t>DBK-CUS-501193</t>
  </si>
  <si>
    <t>DBK-CMP-101194</t>
  </si>
  <si>
    <t>DBK-CUS-501194</t>
  </si>
  <si>
    <t>DBK-CMP-101195</t>
  </si>
  <si>
    <t>DBK-CUS-501195</t>
  </si>
  <si>
    <t>DBK-CMP-101196</t>
  </si>
  <si>
    <t>DBK-CUS-501196</t>
  </si>
  <si>
    <t>DBK-CMP-101197</t>
  </si>
  <si>
    <t>DBK-CUS-501197</t>
  </si>
  <si>
    <t>DBK-CMP-101198</t>
  </si>
  <si>
    <t>DBK-CUS-501198</t>
  </si>
  <si>
    <t>DBK-CMP-101199</t>
  </si>
  <si>
    <t>DBK-CUS-501199</t>
  </si>
  <si>
    <t>Row Labels</t>
  </si>
  <si>
    <t>Grand Total</t>
  </si>
  <si>
    <t>Count of Complaint_ID</t>
  </si>
  <si>
    <t>Complaints by Type</t>
  </si>
  <si>
    <t>Resolution Status Distribution</t>
  </si>
  <si>
    <t>Count of Customer_ID</t>
  </si>
  <si>
    <t>Avg Resolution Time by Channel</t>
  </si>
  <si>
    <t>Average of Resolution_Time_Hours</t>
  </si>
  <si>
    <t>Customer Rating Distribution</t>
  </si>
  <si>
    <t>Mar</t>
  </si>
  <si>
    <t>Monthly trend</t>
  </si>
  <si>
    <t>Total comp</t>
  </si>
  <si>
    <t>resolved comp</t>
  </si>
  <si>
    <t>AvgCust Rating</t>
  </si>
  <si>
    <t>AvgResolutime</t>
  </si>
  <si>
    <t>Jan</t>
  </si>
  <si>
    <t>Feb</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</si>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</sst>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4C09]d\ mmm\ yyyy;@"/>
  </numFmts>
  <fonts count="3" x14ac:knownFonts="1">
    <font>
      <sz val="11"/>
      <color theme="1"/>
      <name val="Calibri"/>
      <family val="2"/>
      <scheme val="minor"/>
    </font>
    <font>
      <b/>
      <sz val="11"/>
      <name val="Calibri"/>
    </font>
    <font>
      <b/>
      <sz val="11"/>
      <name val="Calibri"/>
      <family val="2"/>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2" fontId="0" fillId="0" borderId="0" xfId="0" applyNumberFormat="1"/>
    <xf numFmtId="164" fontId="0" fillId="0" borderId="0" xfId="0" applyNumberFormat="1" applyAlignment="1">
      <alignment horizontal="left" vertical="center"/>
    </xf>
    <xf numFmtId="164" fontId="0" fillId="0" borderId="0" xfId="0" applyNumberFormat="1" applyAlignment="1">
      <alignment horizontal="left"/>
    </xf>
    <xf numFmtId="14" fontId="0" fillId="0" borderId="0" xfId="0" applyNumberFormat="1" applyAlignment="1">
      <alignment horizontal="left"/>
    </xf>
    <xf numFmtId="0" fontId="0" fillId="2" borderId="0" xfId="0" applyFill="1"/>
    <xf numFmtId="14" fontId="2" fillId="0" borderId="1" xfId="0" applyNumberFormat="1" applyFont="1" applyBorder="1" applyAlignment="1">
      <alignment horizontal="left" vertical="top"/>
    </xf>
    <xf numFmtId="0" fontId="2" fillId="0" borderId="1" xfId="0" applyFont="1" applyBorder="1" applyAlignment="1">
      <alignment horizontal="center" vertical="top"/>
    </xf>
    <xf numFmtId="0" fontId="0" fillId="0" borderId="0" xfId="0" applyNumberFormat="1"/>
  </cellXfs>
  <cellStyles count="1">
    <cellStyle name="Normal" xfId="0" builtinId="0"/>
  </cellStyles>
  <dxfs count="15">
    <dxf>
      <numFmt numFmtId="164" formatCode="[$-14C09]d\ mmm\ yyyy;@"/>
      <alignment horizontal="left" textRotation="0" wrapText="0" indent="0" justifyLastLine="0" shrinkToFit="0" readingOrder="0"/>
    </dxf>
    <dxf>
      <numFmt numFmtId="164" formatCode="[$-14C09]d\ mmm\ yyyy;@"/>
      <alignment horizontal="left" vertical="center"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i val="0"/>
        <sz val="12"/>
        <color theme="0"/>
        <name val="Arial"/>
        <family val="2"/>
        <scheme val="none"/>
      </font>
      <fill>
        <patternFill>
          <bgColor theme="6" tint="-0.24994659260841701"/>
        </patternFill>
      </fill>
      <border diagonalUp="0" diagonalDown="0">
        <left/>
        <right/>
        <top/>
        <bottom/>
        <vertical/>
        <horizontal/>
      </border>
    </dxf>
    <dxf>
      <font>
        <b/>
        <i val="0"/>
        <sz val="11"/>
        <color theme="0"/>
        <name val="Arial"/>
        <family val="2"/>
        <scheme val="none"/>
      </font>
      <fill>
        <gradientFill degree="90">
          <stop position="0">
            <color theme="6" tint="0.80001220740379042"/>
          </stop>
          <stop position="1">
            <color theme="6" tint="0.59999389629810485"/>
          </stop>
        </gradientFill>
      </fill>
      <border diagonalUp="0" diagonalDown="0">
        <left style="thin">
          <color theme="6" tint="-0.24994659260841701"/>
        </left>
        <right style="thin">
          <color theme="6" tint="-0.24994659260841701"/>
        </right>
        <top style="thin">
          <color theme="6" tint="-0.24994659260841701"/>
        </top>
        <bottom style="thin">
          <color theme="6" tint="-0.24994659260841701"/>
        </bottom>
        <vertical/>
        <horizontal/>
      </border>
    </dxf>
    <dxf>
      <font>
        <b/>
        <i val="0"/>
        <sz val="12"/>
        <color theme="0"/>
        <name val="Arial"/>
        <family val="2"/>
        <scheme val="none"/>
      </font>
      <fill>
        <patternFill>
          <bgColor theme="6" tint="-0.24994659260841701"/>
        </patternFill>
      </fill>
      <border diagonalUp="0" diagonalDown="0">
        <left/>
        <right/>
        <top/>
        <bottom/>
        <vertical/>
        <horizontal/>
      </border>
    </dxf>
    <dxf>
      <font>
        <b/>
        <i val="0"/>
        <sz val="11"/>
        <color theme="0"/>
        <name val="Arial"/>
        <family val="2"/>
        <scheme val="none"/>
      </font>
      <fill>
        <gradientFill degree="90">
          <stop position="0">
            <color theme="6" tint="0.80001220740379042"/>
          </stop>
          <stop position="1">
            <color theme="6" tint="0.59999389629810485"/>
          </stop>
        </gradientFill>
      </fill>
      <border diagonalUp="0" diagonalDown="0">
        <left style="thin">
          <color theme="6" tint="-0.24994659260841701"/>
        </left>
        <right style="thin">
          <color theme="6" tint="-0.24994659260841701"/>
        </right>
        <top style="thin">
          <color theme="6" tint="-0.24994659260841701"/>
        </top>
        <bottom style="thin">
          <color theme="6" tint="-0.24994659260841701"/>
        </bottom>
        <vertical/>
        <horizontal/>
      </border>
    </dxf>
    <dxf>
      <font>
        <b/>
        <i val="0"/>
        <sz val="10"/>
        <color theme="0"/>
        <name val="Arial"/>
        <family val="2"/>
        <scheme val="none"/>
      </font>
      <fill>
        <patternFill patternType="solid">
          <fgColor auto="1"/>
          <bgColor theme="6" tint="-0.24994659260841701"/>
        </patternFill>
      </fill>
      <border>
        <bottom style="thin">
          <color theme="6"/>
        </bottom>
        <vertical/>
        <horizontal/>
      </border>
    </dxf>
    <dxf>
      <font>
        <color theme="6" tint="0.79998168889431442"/>
      </font>
      <fill>
        <patternFill patternType="solid">
          <fgColor auto="1"/>
          <bgColor theme="6" tint="0.79998168889431442"/>
        </patternFill>
      </fill>
      <border>
        <left style="thin">
          <color theme="6"/>
        </left>
        <right style="thin">
          <color theme="6"/>
        </right>
        <top style="thin">
          <color theme="6"/>
        </top>
        <bottom style="thin">
          <color theme="6"/>
        </bottom>
        <vertical/>
        <horizontal/>
      </border>
    </dxf>
    <dxf>
      <font>
        <b/>
        <i val="0"/>
        <sz val="10"/>
        <color theme="0"/>
        <name val="Arial"/>
        <family val="2"/>
        <scheme val="none"/>
      </font>
      <fill>
        <patternFill patternType="solid">
          <fgColor auto="1"/>
          <bgColor theme="6" tint="-0.24994659260841701"/>
        </patternFill>
      </fill>
      <border>
        <bottom style="thin">
          <color theme="6"/>
        </bottom>
        <vertical/>
        <horizontal/>
      </border>
    </dxf>
    <dxf>
      <font>
        <color theme="1"/>
      </font>
      <fill>
        <patternFill patternType="darkGray">
          <fgColor theme="6" tint="0.79998168889431442"/>
          <bgColor auto="1"/>
        </patternFill>
      </fill>
      <border>
        <left style="thin">
          <color theme="6"/>
        </left>
        <right style="thin">
          <color theme="6"/>
        </right>
        <top style="thin">
          <color theme="6"/>
        </top>
        <bottom style="thin">
          <color theme="6"/>
        </bottom>
        <vertical/>
        <horizontal/>
      </border>
    </dxf>
    <dxf>
      <font>
        <b/>
        <i val="0"/>
        <sz val="12"/>
        <color theme="0"/>
        <name val="Arial"/>
        <family val="2"/>
        <scheme val="none"/>
      </font>
      <fill>
        <patternFill>
          <fgColor theme="6" tint="0.39991454817346722"/>
          <bgColor theme="6" tint="-0.24994659260841701"/>
        </patternFill>
      </fill>
    </dxf>
    <dxf>
      <font>
        <color theme="6" tint="-0.24994659260841701"/>
      </font>
      <fill>
        <patternFill>
          <fgColor theme="6" tint="0.79998168889431442"/>
        </patternFill>
      </fill>
      <border diagonalUp="0" diagonalDown="0">
        <left/>
        <right/>
        <top/>
        <bottom/>
        <vertical/>
        <horizontal/>
      </border>
    </dxf>
  </dxfs>
  <tableStyles count="5" defaultTableStyle="TableStyleMedium9" defaultPivotStyle="PivotStyleLight16">
    <tableStyle name="Slicer Style 1" pivot="0" table="0" count="7" xr9:uid="{20F4FA76-8141-4228-8FC2-49E526299531}">
      <tableStyleElement type="wholeTable" dxfId="14"/>
      <tableStyleElement type="headerRow" dxfId="13"/>
    </tableStyle>
    <tableStyle name="SlicerStyleDark3 2" pivot="0" table="0" count="10" xr9:uid="{B5EF6286-EED3-47E9-B130-B7147122576F}">
      <tableStyleElement type="wholeTable" dxfId="12"/>
      <tableStyleElement type="headerRow" dxfId="11"/>
    </tableStyle>
    <tableStyle name="SlicerStyleDark3 2 2" pivot="0" table="0" count="10" xr9:uid="{9B882C00-085D-4897-8CD0-F71B55B43956}">
      <tableStyleElement type="wholeTable" dxfId="10"/>
      <tableStyleElement type="headerRow" dxfId="9"/>
    </tableStyle>
    <tableStyle name="Timeline Style 1" pivot="0" table="0" count="8" xr9:uid="{743A36CB-C7FB-4396-8F4D-D1426C783D48}">
      <tableStyleElement type="wholeTable" dxfId="8"/>
      <tableStyleElement type="headerRow" dxfId="7"/>
    </tableStyle>
    <tableStyle name="Timeline Style 1 2" pivot="0" table="0" count="8" xr9:uid="{5B1AD98A-C1EC-477F-90FE-76A99D7BA316}">
      <tableStyleElement type="wholeTable" dxfId="6"/>
      <tableStyleElement type="headerRow" dxfId="5"/>
    </tableStyle>
  </tableStyles>
  <extLst>
    <ext xmlns:x14="http://schemas.microsoft.com/office/spreadsheetml/2009/9/main" uri="{46F421CA-312F-682f-3DD2-61675219B42D}">
      <x14:dxfs count="21">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sz val="10"/>
            <color theme="6" tint="-0.24994659260841701"/>
            <name val="Arial"/>
            <family val="2"/>
            <scheme val="none"/>
          </font>
          <fill>
            <patternFill>
              <bgColor theme="6" tint="0.79998168889431442"/>
            </patternFill>
          </fill>
        </dxf>
        <dxf>
          <fill>
            <gradientFill degree="90">
              <stop position="0">
                <color theme="6" tint="0.40000610370189521"/>
              </stop>
              <stop position="1">
                <color theme="6" tint="-0.25098422193060094"/>
              </stop>
            </gradientFill>
          </fill>
        </dxf>
        <dxf>
          <font>
            <b/>
            <i val="0"/>
            <sz val="9"/>
            <color theme="0"/>
            <name val="Arial"/>
            <family val="2"/>
            <scheme val="none"/>
          </font>
          <fill>
            <gradientFill degree="90">
              <stop position="0">
                <color theme="6" tint="0.40000610370189521"/>
              </stop>
              <stop position="1">
                <color theme="6" tint="-0.25098422193060094"/>
              </stop>
            </gradientFill>
          </fill>
        </dxf>
        <dxf>
          <font>
            <b/>
            <i val="0"/>
            <sz val="10"/>
            <name val="Arial"/>
            <family val="2"/>
            <scheme val="none"/>
          </font>
          <fill>
            <patternFill patternType="solid">
              <fgColor auto="1"/>
              <bgColor theme="6" tint="0.79998168889431442"/>
            </patternFill>
          </fill>
          <border diagonalUp="0" diagonalDown="0">
            <left/>
            <right/>
            <top/>
            <bottom/>
            <vertical/>
            <horizontal/>
          </border>
        </dxf>
        <dxf>
          <font>
            <b/>
            <i val="0"/>
            <sz val="10"/>
            <color theme="0"/>
            <name val="Arial"/>
            <family val="2"/>
            <scheme val="none"/>
          </font>
          <fill>
            <gradientFill degree="90">
              <stop position="0">
                <color theme="6" tint="0.40000610370189521"/>
              </stop>
              <stop position="1">
                <color theme="6" tint="-0.25098422193060094"/>
              </stop>
            </gradient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0"/>
            <x14:slicerStyleElement type="unselectedItemWithNoData" dxfId="19"/>
            <x14:slicerStyleElement type="selectedItemWithData" dxfId="18"/>
            <x14:slicerStyleElement type="selectedItemWithNoData" dxfId="17"/>
            <x14:slicerStyleElement type="hoveredSelectedItemWithData" dxfId="16"/>
          </x14:slicerStyleElements>
        </x14:slicerStyle>
        <x14:slicerStyle name="SlicerStyleDark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gradientFill degree="90">
              <stop position="0">
                <color theme="6" tint="0.40000610370189521"/>
              </stop>
              <stop position="1">
                <color theme="6" tint="-0.25098422193060094"/>
              </stop>
            </gradientFill>
          </fill>
        </dxf>
        <dxf>
          <font>
            <b/>
            <i val="0"/>
            <sz val="9"/>
            <color theme="6" tint="-0.24994659260841701"/>
            <name val="Arial"/>
            <family val="2"/>
            <scheme val="none"/>
          </font>
        </dxf>
        <dxf>
          <font>
            <b/>
            <i val="0"/>
            <sz val="9"/>
            <color theme="6" tint="-0.24994659260841701"/>
            <name val="Arial"/>
            <family val="2"/>
            <scheme val="none"/>
          </font>
        </dxf>
        <dxf>
          <font>
            <b/>
            <i val="0"/>
            <sz val="9"/>
            <color theme="6" tint="-0.24994659260841701"/>
            <name val="Arial"/>
            <family val="2"/>
            <scheme val="none"/>
          </font>
        </dxf>
        <dxf>
          <font>
            <b/>
            <i val="0"/>
            <sz val="11"/>
            <color theme="6" tint="-0.24994659260841701"/>
            <name val="Arial"/>
            <family val="2"/>
            <scheme val="none"/>
          </font>
        </dxf>
        <dxf>
          <fill>
            <patternFill patternType="solid">
              <fgColor theme="0" tint="-0.14999847407452621"/>
              <bgColor theme="0" tint="-0.14999847407452621"/>
            </patternFill>
          </fill>
        </dxf>
        <dxf>
          <fill>
            <gradientFill degree="90">
              <stop position="0">
                <color theme="6" tint="0.40000610370189521"/>
              </stop>
              <stop position="1">
                <color theme="6" tint="-0.25098422193060094"/>
              </stop>
            </gradientFill>
          </fill>
        </dxf>
        <dxf>
          <font>
            <b/>
            <i val="0"/>
            <sz val="9"/>
            <color theme="6" tint="-0.24994659260841701"/>
            <name val="Arial"/>
            <family val="2"/>
            <scheme val="none"/>
          </font>
        </dxf>
        <dxf>
          <font>
            <b/>
            <i val="0"/>
            <sz val="9"/>
            <color theme="6" tint="-0.24994659260841701"/>
            <name val="Arial"/>
            <family val="2"/>
            <scheme val="none"/>
          </font>
        </dxf>
        <dxf>
          <font>
            <b/>
            <i val="0"/>
            <sz val="9"/>
            <color theme="6" tint="-0.24994659260841701"/>
            <name val="Arial"/>
            <family val="2"/>
            <scheme val="none"/>
          </font>
        </dxf>
        <dxf>
          <font>
            <b/>
            <i val="0"/>
            <sz val="11"/>
            <color theme="6" tint="-0.24994659260841701"/>
            <name val="Arial"/>
            <family val="2"/>
            <scheme val="none"/>
          </font>
        </dxf>
      </x15:dxfs>
    </ext>
    <ext xmlns:x15="http://schemas.microsoft.com/office/spreadsheetml/2010/11/main" uri="{9260A510-F301-46a8-8635-F512D64BE5F5}">
      <x15:timelineStyles defaultTimelineStyle="Timeline Style 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1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[banking_customer_satisfaction.xlsx]Pivot 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solidFill>
                  <a:schemeClr val="bg1"/>
                </a:solidFill>
                <a:latin typeface="Arial" panose="020B0604020202020204" pitchFamily="34" charset="0"/>
                <a:cs typeface="Arial" panose="020B0604020202020204" pitchFamily="34" charset="0"/>
              </a:rPr>
              <a:t>Complaints by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table'!$B$5:$B$13</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table'!$C$5:$C$13</c:f>
              <c:numCache>
                <c:formatCode>General</c:formatCode>
                <c:ptCount val="8"/>
                <c:pt idx="0">
                  <c:v>131</c:v>
                </c:pt>
                <c:pt idx="1">
                  <c:v>147</c:v>
                </c:pt>
                <c:pt idx="2">
                  <c:v>161</c:v>
                </c:pt>
                <c:pt idx="3">
                  <c:v>165</c:v>
                </c:pt>
                <c:pt idx="4">
                  <c:v>149</c:v>
                </c:pt>
                <c:pt idx="5">
                  <c:v>147</c:v>
                </c:pt>
                <c:pt idx="6">
                  <c:v>152</c:v>
                </c:pt>
                <c:pt idx="7">
                  <c:v>148</c:v>
                </c:pt>
              </c:numCache>
            </c:numRef>
          </c:val>
          <c:extLst>
            <c:ext xmlns:c16="http://schemas.microsoft.com/office/drawing/2014/chart" uri="{C3380CC4-5D6E-409C-BE32-E72D297353CC}">
              <c16:uniqueId val="{00000000-C17A-48E7-8E34-2AC3C9940018}"/>
            </c:ext>
          </c:extLst>
        </c:ser>
        <c:dLbls>
          <c:dLblPos val="inEnd"/>
          <c:showLegendKey val="0"/>
          <c:showVal val="1"/>
          <c:showCatName val="0"/>
          <c:showSerName val="0"/>
          <c:showPercent val="0"/>
          <c:showBubbleSize val="0"/>
        </c:dLbls>
        <c:gapWidth val="100"/>
        <c:overlap val="-24"/>
        <c:axId val="558036864"/>
        <c:axId val="558033504"/>
      </c:barChart>
      <c:catAx>
        <c:axId val="55803686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58033504"/>
        <c:crosses val="autoZero"/>
        <c:auto val="1"/>
        <c:lblAlgn val="ctr"/>
        <c:lblOffset val="100"/>
        <c:noMultiLvlLbl val="0"/>
      </c:catAx>
      <c:valAx>
        <c:axId val="558033504"/>
        <c:scaling>
          <c:orientation val="minMax"/>
        </c:scaling>
        <c:delete val="1"/>
        <c:axPos val="l"/>
        <c:numFmt formatCode="General" sourceLinked="1"/>
        <c:majorTickMark val="out"/>
        <c:minorTickMark val="none"/>
        <c:tickLblPos val="nextTo"/>
        <c:crossAx val="55803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000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[banking_customer_satisfaction.xlsx]Pivot table!PivotTable3</c:name>
    <c:fmtId val="2"/>
  </c:pivotSource>
  <c:chart>
    <c:title>
      <c:tx>
        <c:rich>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r>
              <a:rPr lang="en-US" sz="1000">
                <a:solidFill>
                  <a:schemeClr val="bg1"/>
                </a:solidFill>
                <a:latin typeface="Arial" panose="020B0604020202020204" pitchFamily="34" charset="0"/>
                <a:cs typeface="Arial" panose="020B0604020202020204" pitchFamily="34" charset="0"/>
              </a:rPr>
              <a:t>Resolution Status Distribution</a:t>
            </a:r>
          </a:p>
        </c:rich>
      </c:tx>
      <c:layout>
        <c:manualLayout>
          <c:xMode val="edge"/>
          <c:yMode val="edge"/>
          <c:x val="0.13540836330643855"/>
          <c:y val="2.982181010407324E-2"/>
        </c:manualLayout>
      </c:layout>
      <c:overlay val="0"/>
      <c:spPr>
        <a:noFill/>
        <a:ln>
          <a:noFill/>
        </a:ln>
        <a:effectLst/>
      </c:spPr>
      <c:txPr>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3">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solidFill>
            <a:schemeClr val="accent4">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chemeClr val="accent3">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6.8028822786040638E-2"/>
          <c:y val="0.1728300157328812"/>
          <c:w val="0.55929611807783286"/>
          <c:h val="0.69696865689044174"/>
        </c:manualLayout>
      </c:layout>
      <c:pieChart>
        <c:varyColors val="0"/>
        <c:ser>
          <c:idx val="0"/>
          <c:order val="0"/>
          <c:tx>
            <c:strRef>
              <c:f>'Pivot table'!$F$4</c:f>
              <c:strCache>
                <c:ptCount val="1"/>
                <c:pt idx="0">
                  <c:v>Total</c:v>
                </c:pt>
              </c:strCache>
            </c:strRef>
          </c:tx>
          <c:spPr>
            <a:solidFill>
              <a:schemeClr val="accent3">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idx val="0"/>
            <c:bubble3D val="0"/>
            <c:spPr>
              <a:solidFill>
                <a:schemeClr val="accent5">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A7F-4A71-BD85-8310D5BA5C89}"/>
              </c:ext>
            </c:extLst>
          </c:dPt>
          <c:dPt>
            <c:idx val="1"/>
            <c:bubble3D val="0"/>
            <c:spPr>
              <a:solidFill>
                <a:schemeClr val="accent4">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A7F-4A71-BD85-8310D5BA5C89}"/>
              </c:ext>
            </c:extLst>
          </c:dPt>
          <c:dPt>
            <c:idx val="2"/>
            <c:bubble3D val="0"/>
            <c:extLst>
              <c:ext xmlns:c16="http://schemas.microsoft.com/office/drawing/2014/chart" uri="{C3380CC4-5D6E-409C-BE32-E72D297353CC}">
                <c16:uniqueId val="{00000005-7A7F-4A71-BD85-8310D5BA5C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table'!$E$5:$E$8</c:f>
              <c:strCache>
                <c:ptCount val="3"/>
                <c:pt idx="0">
                  <c:v>In Progress</c:v>
                </c:pt>
                <c:pt idx="1">
                  <c:v>Pending</c:v>
                </c:pt>
                <c:pt idx="2">
                  <c:v>Resolved</c:v>
                </c:pt>
              </c:strCache>
            </c:strRef>
          </c:cat>
          <c:val>
            <c:numRef>
              <c:f>'Pivot table'!$F$5:$F$8</c:f>
              <c:numCache>
                <c:formatCode>General</c:formatCode>
                <c:ptCount val="3"/>
                <c:pt idx="0">
                  <c:v>241</c:v>
                </c:pt>
                <c:pt idx="1">
                  <c:v>176</c:v>
                </c:pt>
                <c:pt idx="2">
                  <c:v>783</c:v>
                </c:pt>
              </c:numCache>
            </c:numRef>
          </c:val>
          <c:extLst>
            <c:ext xmlns:c16="http://schemas.microsoft.com/office/drawing/2014/chart" uri="{C3380CC4-5D6E-409C-BE32-E72D297353CC}">
              <c16:uniqueId val="{00000006-7A7F-4A71-BD85-8310D5BA5C89}"/>
            </c:ext>
          </c:extLst>
        </c:ser>
        <c:dLbls>
          <c:dLblPos val="inEnd"/>
          <c:showLegendKey val="0"/>
          <c:showVal val="0"/>
          <c:showCatName val="0"/>
          <c:showSerName val="0"/>
          <c:showPercent val="1"/>
          <c:showBubbleSize val="0"/>
          <c:showLeaderLines val="1"/>
        </c:dLbls>
        <c:firstSliceAng val="10"/>
      </c:pieChart>
      <c:spPr>
        <a:noFill/>
        <a:ln>
          <a:noFill/>
        </a:ln>
        <a:effectLst/>
      </c:spPr>
    </c:plotArea>
    <c:legend>
      <c:legendPos val="r"/>
      <c:layout>
        <c:manualLayout>
          <c:xMode val="edge"/>
          <c:yMode val="edge"/>
          <c:x val="0.70114991413110395"/>
          <c:y val="0.44725749684156224"/>
          <c:w val="0.27367398561584638"/>
          <c:h val="0.301633002396439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000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100000" t="100000"/>
      </a:path>
      <a:tileRect r="-100000" b="-100000"/>
    </a:gradFill>
    <a:ln w="9525" cap="flat" cmpd="sng" algn="ctr">
      <a:solidFill>
        <a:schemeClr val="tx1">
          <a:lumMod val="15000"/>
          <a:lumOff val="85000"/>
        </a:schemeClr>
      </a:solidFill>
      <a:round/>
    </a:ln>
    <a:effectLst>
      <a:outerShdw blurRad="508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[banking_customer_satisfaction.xlsx]Pivot table!PivotTable4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100">
                <a:solidFill>
                  <a:schemeClr val="bg1"/>
                </a:solidFill>
                <a:latin typeface="Arial" panose="020B0604020202020204" pitchFamily="34" charset="0"/>
                <a:cs typeface="Arial" panose="020B0604020202020204" pitchFamily="34" charset="0"/>
              </a:rPr>
              <a:t>Average Resolution Time by Channel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table'!$I$4</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table'!$H$5:$H$10</c:f>
              <c:strCache>
                <c:ptCount val="5"/>
                <c:pt idx="0">
                  <c:v>Branch</c:v>
                </c:pt>
                <c:pt idx="1">
                  <c:v>Call Center</c:v>
                </c:pt>
                <c:pt idx="2">
                  <c:v>Email</c:v>
                </c:pt>
                <c:pt idx="3">
                  <c:v>Mobile App</c:v>
                </c:pt>
                <c:pt idx="4">
                  <c:v>Website</c:v>
                </c:pt>
              </c:strCache>
            </c:strRef>
          </c:cat>
          <c:val>
            <c:numRef>
              <c:f>'Pivot table'!$I$5:$I$10</c:f>
              <c:numCache>
                <c:formatCode>0.00</c:formatCode>
                <c:ptCount val="5"/>
                <c:pt idx="0">
                  <c:v>27.386831275720166</c:v>
                </c:pt>
                <c:pt idx="1">
                  <c:v>25.213991769547324</c:v>
                </c:pt>
                <c:pt idx="2">
                  <c:v>28.101214574898787</c:v>
                </c:pt>
                <c:pt idx="3">
                  <c:v>28.59009009009009</c:v>
                </c:pt>
                <c:pt idx="4">
                  <c:v>29.277551020408165</c:v>
                </c:pt>
              </c:numCache>
            </c:numRef>
          </c:val>
          <c:extLst>
            <c:ext xmlns:c16="http://schemas.microsoft.com/office/drawing/2014/chart" uri="{C3380CC4-5D6E-409C-BE32-E72D297353CC}">
              <c16:uniqueId val="{00000000-2557-4404-8988-918101DA1B7F}"/>
            </c:ext>
          </c:extLst>
        </c:ser>
        <c:dLbls>
          <c:showLegendKey val="0"/>
          <c:showVal val="1"/>
          <c:showCatName val="0"/>
          <c:showSerName val="0"/>
          <c:showPercent val="0"/>
          <c:showBubbleSize val="0"/>
        </c:dLbls>
        <c:gapWidth val="150"/>
        <c:shape val="box"/>
        <c:axId val="809581216"/>
        <c:axId val="809588416"/>
        <c:axId val="0"/>
      </c:bar3DChart>
      <c:catAx>
        <c:axId val="809581216"/>
        <c:scaling>
          <c:orientation val="minMax"/>
        </c:scaling>
        <c:delete val="0"/>
        <c:axPos val="l"/>
        <c:numFmt formatCode="General" sourceLinked="1"/>
        <c:majorTickMark val="none"/>
        <c:minorTickMark val="none"/>
        <c:tickLblPos val="nextTo"/>
        <c:spPr>
          <a:noFill/>
          <a:ln w="12700" cap="flat" cmpd="sng" algn="ctr">
            <a:solidFill>
              <a:schemeClr val="bg1">
                <a:lumMod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809588416"/>
        <c:crosses val="autoZero"/>
        <c:auto val="1"/>
        <c:lblAlgn val="ctr"/>
        <c:lblOffset val="100"/>
        <c:noMultiLvlLbl val="0"/>
      </c:catAx>
      <c:valAx>
        <c:axId val="809588416"/>
        <c:scaling>
          <c:orientation val="minMax"/>
        </c:scaling>
        <c:delete val="1"/>
        <c:axPos val="b"/>
        <c:numFmt formatCode="0.00" sourceLinked="1"/>
        <c:majorTickMark val="none"/>
        <c:minorTickMark val="none"/>
        <c:tickLblPos val="nextTo"/>
        <c:crossAx val="80958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9525" cap="flat" cmpd="sng" algn="ctr">
      <a:solidFill>
        <a:schemeClr val="accent3">
          <a:lumMod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[banking_customer_satisfaction.xlsx]Pivot table!PivotTable9</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r>
              <a:rPr lang="en-US" b="1"/>
              <a:t>Monthly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cmpd="sng">
            <a:solidFill>
              <a:schemeClr val="bg1"/>
            </a:solidFill>
            <a:prstDash val="solid"/>
            <a:round/>
          </a:ln>
          <a:effectLst/>
        </c:spPr>
        <c:marker>
          <c:symbol val="circle"/>
          <c:size val="5"/>
          <c:spPr>
            <a:solidFill>
              <a:srgbClr val="FFC000"/>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table'!$F$18</c:f>
              <c:strCache>
                <c:ptCount val="1"/>
                <c:pt idx="0">
                  <c:v>Total</c:v>
                </c:pt>
              </c:strCache>
            </c:strRef>
          </c:tx>
          <c:spPr>
            <a:ln w="28575" cap="rnd" cmpd="sng">
              <a:solidFill>
                <a:schemeClr val="bg1"/>
              </a:solidFill>
              <a:prstDash val="solid"/>
              <a:round/>
            </a:ln>
            <a:effectLst/>
          </c:spPr>
          <c:marker>
            <c:symbol val="circle"/>
            <c:size val="5"/>
            <c:spPr>
              <a:solidFill>
                <a:srgbClr val="FFC000"/>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table'!$E$19:$E$31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table'!$F$19:$F$31</c:f>
              <c:numCache>
                <c:formatCode>General</c:formatCode>
                <c:ptCount val="12"/>
                <c:pt idx="0">
                  <c:v>109</c:v>
                </c:pt>
                <c:pt idx="1">
                  <c:v>95</c:v>
                </c:pt>
                <c:pt idx="2">
                  <c:v>117</c:v>
                </c:pt>
                <c:pt idx="3">
                  <c:v>91</c:v>
                </c:pt>
                <c:pt idx="4">
                  <c:v>91</c:v>
                </c:pt>
                <c:pt idx="5">
                  <c:v>90</c:v>
                </c:pt>
                <c:pt idx="6">
                  <c:v>99</c:v>
                </c:pt>
                <c:pt idx="7">
                  <c:v>111</c:v>
                </c:pt>
                <c:pt idx="8">
                  <c:v>101</c:v>
                </c:pt>
                <c:pt idx="9">
                  <c:v>91</c:v>
                </c:pt>
                <c:pt idx="10">
                  <c:v>95</c:v>
                </c:pt>
                <c:pt idx="11">
                  <c:v>110</c:v>
                </c:pt>
              </c:numCache>
            </c:numRef>
          </c:val>
          <c:smooth val="0"/>
          <c:extLst>
            <c:ext xmlns:c16="http://schemas.microsoft.com/office/drawing/2014/chart" uri="{C3380CC4-5D6E-409C-BE32-E72D297353CC}">
              <c16:uniqueId val="{00000000-AEDE-4D73-815E-082B37F2499A}"/>
            </c:ext>
          </c:extLst>
        </c:ser>
        <c:dLbls>
          <c:dLblPos val="t"/>
          <c:showLegendKey val="0"/>
          <c:showVal val="1"/>
          <c:showCatName val="0"/>
          <c:showSerName val="0"/>
          <c:showPercent val="0"/>
          <c:showBubbleSize val="0"/>
        </c:dLbls>
        <c:marker val="1"/>
        <c:smooth val="0"/>
        <c:axId val="862968736"/>
        <c:axId val="862962976"/>
      </c:lineChart>
      <c:catAx>
        <c:axId val="86296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862962976"/>
        <c:crosses val="autoZero"/>
        <c:auto val="1"/>
        <c:lblAlgn val="ctr"/>
        <c:lblOffset val="100"/>
        <c:noMultiLvlLbl val="0"/>
      </c:catAx>
      <c:valAx>
        <c:axId val="862962976"/>
        <c:scaling>
          <c:orientation val="minMax"/>
        </c:scaling>
        <c:delete val="0"/>
        <c:axPos val="l"/>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86296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lin ang="2700000" scaled="1"/>
      <a:tileRect/>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solidFill>
            <a:schemeClr val="bg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[banking_customer_satisfaction.xlsx]Pivot table!PivotTable5</c:name>
    <c:fmtId val="3"/>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200">
                <a:solidFill>
                  <a:schemeClr val="bg1"/>
                </a:solidFill>
                <a:latin typeface="Arial" panose="020B0604020202020204" pitchFamily="34" charset="0"/>
                <a:cs typeface="Arial" panose="020B0604020202020204" pitchFamily="34" charset="0"/>
              </a:rPr>
              <a:t>Customer Rating Distribution</a:t>
            </a:r>
          </a:p>
        </c:rich>
      </c:tx>
      <c:layout>
        <c:manualLayout>
          <c:xMode val="edge"/>
          <c:yMode val="edge"/>
          <c:x val="0.11251901826359464"/>
          <c:y val="5.85937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8728522336769765E-2"/>
              <c:y val="-3.38983050847458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0618556701030927E-2"/>
              <c:y val="-5.08474576271187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4364261168384879E-3"/>
              <c:y val="-6.77966101694915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7182130584192441E-2"/>
              <c:y val="-5.64971751412430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810996563573883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table'!$C$18</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idx val="0"/>
            <c:bubble3D val="0"/>
            <c:extLst>
              <c:ext xmlns:c16="http://schemas.microsoft.com/office/drawing/2014/chart" uri="{C3380CC4-5D6E-409C-BE32-E72D297353CC}">
                <c16:uniqueId val="{00000001-6208-43F4-91A1-D83020BBE5AD}"/>
              </c:ext>
            </c:extLst>
          </c:dPt>
          <c:dPt>
            <c:idx val="1"/>
            <c:bubble3D val="0"/>
            <c:extLst>
              <c:ext xmlns:c16="http://schemas.microsoft.com/office/drawing/2014/chart" uri="{C3380CC4-5D6E-409C-BE32-E72D297353CC}">
                <c16:uniqueId val="{00000003-6208-43F4-91A1-D83020BBE5AD}"/>
              </c:ext>
            </c:extLst>
          </c:dPt>
          <c:dPt>
            <c:idx val="2"/>
            <c:bubble3D val="0"/>
            <c:extLst>
              <c:ext xmlns:c16="http://schemas.microsoft.com/office/drawing/2014/chart" uri="{C3380CC4-5D6E-409C-BE32-E72D297353CC}">
                <c16:uniqueId val="{00000002-B9F5-421A-B60F-FC8D4C91FF29}"/>
              </c:ext>
            </c:extLst>
          </c:dPt>
          <c:dPt>
            <c:idx val="3"/>
            <c:bubble3D val="0"/>
            <c:extLst>
              <c:ext xmlns:c16="http://schemas.microsoft.com/office/drawing/2014/chart" uri="{C3380CC4-5D6E-409C-BE32-E72D297353CC}">
                <c16:uniqueId val="{00000003-B9F5-421A-B60F-FC8D4C91FF29}"/>
              </c:ext>
            </c:extLst>
          </c:dPt>
          <c:dPt>
            <c:idx val="4"/>
            <c:bubble3D val="0"/>
            <c:extLst>
              <c:ext xmlns:c16="http://schemas.microsoft.com/office/drawing/2014/chart" uri="{C3380CC4-5D6E-409C-BE32-E72D297353CC}">
                <c16:uniqueId val="{00000004-B9F5-421A-B60F-FC8D4C91FF29}"/>
              </c:ext>
            </c:extLst>
          </c:dPt>
          <c:dLbls>
            <c:dLbl>
              <c:idx val="0"/>
              <c:layout>
                <c:manualLayout>
                  <c:x val="6.8728522336769765E-2"/>
                  <c:y val="-3.38983050847458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08-43F4-91A1-D83020BBE5AD}"/>
                </c:ext>
              </c:extLst>
            </c:dLbl>
            <c:dLbl>
              <c:idx val="1"/>
              <c:layout>
                <c:manualLayout>
                  <c:x val="2.0618556701030927E-2"/>
                  <c:y val="-5.08474576271187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08-43F4-91A1-D83020BBE5AD}"/>
                </c:ext>
              </c:extLst>
            </c:dLbl>
            <c:dLbl>
              <c:idx val="2"/>
              <c:layout>
                <c:manualLayout>
                  <c:x val="-3.4364261168384879E-3"/>
                  <c:y val="-6.77966101694915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9F5-421A-B60F-FC8D4C91FF29}"/>
                </c:ext>
              </c:extLst>
            </c:dLbl>
            <c:dLbl>
              <c:idx val="3"/>
              <c:layout>
                <c:manualLayout>
                  <c:x val="-1.7182130584192441E-2"/>
                  <c:y val="-5.64971751412430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F5-421A-B60F-FC8D4C91FF29}"/>
                </c:ext>
              </c:extLst>
            </c:dLbl>
            <c:dLbl>
              <c:idx val="4"/>
              <c:layout>
                <c:manualLayout>
                  <c:x val="-4.810996563573883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9F5-421A-B60F-FC8D4C91FF2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table'!$B$19:$B$24</c:f>
              <c:strCache>
                <c:ptCount val="5"/>
                <c:pt idx="0">
                  <c:v>1</c:v>
                </c:pt>
                <c:pt idx="1">
                  <c:v>2</c:v>
                </c:pt>
                <c:pt idx="2">
                  <c:v>3</c:v>
                </c:pt>
                <c:pt idx="3">
                  <c:v>4</c:v>
                </c:pt>
                <c:pt idx="4">
                  <c:v>5</c:v>
                </c:pt>
              </c:strCache>
            </c:strRef>
          </c:cat>
          <c:val>
            <c:numRef>
              <c:f>'Pivot table'!$C$19:$C$24</c:f>
              <c:numCache>
                <c:formatCode>General</c:formatCode>
                <c:ptCount val="5"/>
                <c:pt idx="0">
                  <c:v>111</c:v>
                </c:pt>
                <c:pt idx="1">
                  <c:v>158</c:v>
                </c:pt>
                <c:pt idx="2">
                  <c:v>158</c:v>
                </c:pt>
                <c:pt idx="3">
                  <c:v>158</c:v>
                </c:pt>
                <c:pt idx="4">
                  <c:v>198</c:v>
                </c:pt>
              </c:numCache>
            </c:numRef>
          </c:val>
          <c:extLst>
            <c:ext xmlns:c16="http://schemas.microsoft.com/office/drawing/2014/chart" uri="{C3380CC4-5D6E-409C-BE32-E72D297353CC}">
              <c16:uniqueId val="{0000000A-6208-43F4-91A1-D83020BBE5AD}"/>
            </c:ext>
          </c:extLst>
        </c:ser>
        <c:dLbls>
          <c:showLegendKey val="0"/>
          <c:showVal val="1"/>
          <c:showCatName val="0"/>
          <c:showSerName val="0"/>
          <c:showPercent val="0"/>
          <c:showBubbleSize val="0"/>
        </c:dLbls>
        <c:axId val="1026157120"/>
        <c:axId val="1026157600"/>
      </c:areaChart>
      <c:catAx>
        <c:axId val="1026157120"/>
        <c:scaling>
          <c:orientation val="minMax"/>
        </c:scaling>
        <c:delete val="0"/>
        <c:axPos val="b"/>
        <c:numFmt formatCode="General" sourceLinked="1"/>
        <c:majorTickMark val="out"/>
        <c:minorTickMark val="none"/>
        <c:tickLblPos val="nextTo"/>
        <c:spPr>
          <a:noFill/>
          <a:ln w="12700" cap="flat" cmpd="sng" algn="ctr">
            <a:solidFill>
              <a:schemeClr val="bg1"/>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026157600"/>
        <c:crosses val="autoZero"/>
        <c:auto val="1"/>
        <c:lblAlgn val="ctr"/>
        <c:lblOffset val="100"/>
        <c:noMultiLvlLbl val="0"/>
      </c:catAx>
      <c:valAx>
        <c:axId val="1026157600"/>
        <c:scaling>
          <c:orientation val="minMax"/>
        </c:scaling>
        <c:delete val="0"/>
        <c:axPos val="l"/>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0261571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lin ang="2700000" scaled="1"/>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10.sv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45720</xdr:colOff>
      <xdr:row>4</xdr:row>
      <xdr:rowOff>99060</xdr:rowOff>
    </xdr:from>
    <xdr:to>
      <xdr:col>2</xdr:col>
      <xdr:colOff>594360</xdr:colOff>
      <xdr:row>35</xdr:row>
      <xdr:rowOff>60960</xdr:rowOff>
    </xdr:to>
    <xdr:sp macro="" textlink="">
      <xdr:nvSpPr>
        <xdr:cNvPr id="11" name="Rectangle: Rounded Corners 10">
          <a:extLst>
            <a:ext uri="{FF2B5EF4-FFF2-40B4-BE49-F238E27FC236}">
              <a16:creationId xmlns:a16="http://schemas.microsoft.com/office/drawing/2014/main" id="{0E0B6F9E-03F0-176C-C244-AF57FA6E95C6}"/>
            </a:ext>
          </a:extLst>
        </xdr:cNvPr>
        <xdr:cNvSpPr/>
      </xdr:nvSpPr>
      <xdr:spPr>
        <a:xfrm>
          <a:off x="45720" y="830580"/>
          <a:ext cx="1767840" cy="5631180"/>
        </a:xfrm>
        <a:prstGeom prst="roundRect">
          <a:avLst/>
        </a:prstGeom>
        <a:gradFill flip="none" rotWithShape="1">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E" sz="1100">
            <a:solidFill>
              <a:schemeClr val="lt1"/>
            </a:solidFill>
            <a:latin typeface="+mn-lt"/>
            <a:ea typeface="+mn-ea"/>
            <a:cs typeface="+mn-cs"/>
          </a:endParaRPr>
        </a:p>
      </xdr:txBody>
    </xdr:sp>
    <xdr:clientData/>
  </xdr:twoCellAnchor>
  <xdr:twoCellAnchor>
    <xdr:from>
      <xdr:col>2</xdr:col>
      <xdr:colOff>556260</xdr:colOff>
      <xdr:row>0</xdr:row>
      <xdr:rowOff>30480</xdr:rowOff>
    </xdr:from>
    <xdr:to>
      <xdr:col>22</xdr:col>
      <xdr:colOff>91440</xdr:colOff>
      <xdr:row>4</xdr:row>
      <xdr:rowOff>0</xdr:rowOff>
    </xdr:to>
    <xdr:sp macro="" textlink="">
      <xdr:nvSpPr>
        <xdr:cNvPr id="3" name="Rectangle: Rounded Corners 2">
          <a:extLst>
            <a:ext uri="{FF2B5EF4-FFF2-40B4-BE49-F238E27FC236}">
              <a16:creationId xmlns:a16="http://schemas.microsoft.com/office/drawing/2014/main" id="{CB8524A7-EA45-72E3-0C4A-3C5D03AF903A}"/>
            </a:ext>
          </a:extLst>
        </xdr:cNvPr>
        <xdr:cNvSpPr/>
      </xdr:nvSpPr>
      <xdr:spPr>
        <a:xfrm>
          <a:off x="1775460" y="30480"/>
          <a:ext cx="11727180" cy="701040"/>
        </a:xfrm>
        <a:prstGeom prst="roundRect">
          <a:avLst/>
        </a:prstGeom>
        <a:gradFill flip="none" rotWithShape="1">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3200" b="1">
              <a:latin typeface="Algerian" panose="04020705040A02060702" pitchFamily="82" charset="0"/>
            </a:rPr>
            <a:t>Customer Satisfaction</a:t>
          </a:r>
          <a:r>
            <a:rPr lang="en-AE" sz="3200" b="1" baseline="0">
              <a:latin typeface="Algerian" panose="04020705040A02060702" pitchFamily="82" charset="0"/>
            </a:rPr>
            <a:t> Analysis Dashboard</a:t>
          </a:r>
          <a:endParaRPr lang="en-AE" sz="3200" b="1">
            <a:latin typeface="Algerian" panose="04020705040A02060702" pitchFamily="82" charset="0"/>
          </a:endParaRPr>
        </a:p>
      </xdr:txBody>
    </xdr:sp>
    <xdr:clientData/>
  </xdr:twoCellAnchor>
  <xdr:twoCellAnchor editAs="oneCell">
    <xdr:from>
      <xdr:col>0</xdr:col>
      <xdr:colOff>289560</xdr:colOff>
      <xdr:row>0</xdr:row>
      <xdr:rowOff>137160</xdr:rowOff>
    </xdr:from>
    <xdr:to>
      <xdr:col>2</xdr:col>
      <xdr:colOff>190500</xdr:colOff>
      <xdr:row>3</xdr:row>
      <xdr:rowOff>168537</xdr:rowOff>
    </xdr:to>
    <xdr:pic>
      <xdr:nvPicPr>
        <xdr:cNvPr id="5" name="Graphic 4" descr="Customer review with solid fill">
          <a:extLst>
            <a:ext uri="{FF2B5EF4-FFF2-40B4-BE49-F238E27FC236}">
              <a16:creationId xmlns:a16="http://schemas.microsoft.com/office/drawing/2014/main" id="{EA8CB215-62BB-ED8B-2F50-64791289EE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9560" y="137160"/>
          <a:ext cx="1120140" cy="580017"/>
        </a:xfrm>
        <a:prstGeom prst="rect">
          <a:avLst/>
        </a:prstGeom>
      </xdr:spPr>
    </xdr:pic>
    <xdr:clientData/>
  </xdr:twoCellAnchor>
  <xdr:twoCellAnchor>
    <xdr:from>
      <xdr:col>3</xdr:col>
      <xdr:colOff>30480</xdr:colOff>
      <xdr:row>4</xdr:row>
      <xdr:rowOff>22860</xdr:rowOff>
    </xdr:from>
    <xdr:to>
      <xdr:col>5</xdr:col>
      <xdr:colOff>243840</xdr:colOff>
      <xdr:row>8</xdr:row>
      <xdr:rowOff>114300</xdr:rowOff>
    </xdr:to>
    <xdr:sp macro="" textlink="">
      <xdr:nvSpPr>
        <xdr:cNvPr id="6" name="Rectangle: Rounded Corners 5">
          <a:extLst>
            <a:ext uri="{FF2B5EF4-FFF2-40B4-BE49-F238E27FC236}">
              <a16:creationId xmlns:a16="http://schemas.microsoft.com/office/drawing/2014/main" id="{A8741A2B-E236-2139-C2E0-95B4149477C7}"/>
            </a:ext>
          </a:extLst>
        </xdr:cNvPr>
        <xdr:cNvSpPr/>
      </xdr:nvSpPr>
      <xdr:spPr>
        <a:xfrm>
          <a:off x="1859280" y="754380"/>
          <a:ext cx="1432560" cy="822960"/>
        </a:xfrm>
        <a:prstGeom prst="roundRect">
          <a:avLst/>
        </a:prstGeom>
        <a:gradFill flip="none" rotWithShape="1">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AE" sz="1100" b="1">
            <a:latin typeface="Arial" panose="020B0604020202020204" pitchFamily="34" charset="0"/>
            <a:cs typeface="Arial" panose="020B0604020202020204" pitchFamily="34" charset="0"/>
          </a:endParaRPr>
        </a:p>
        <a:p>
          <a:pPr algn="r"/>
          <a:endParaRPr lang="en-AE" sz="1100" b="1">
            <a:latin typeface="Arial" panose="020B0604020202020204" pitchFamily="34" charset="0"/>
            <a:cs typeface="Arial" panose="020B0604020202020204" pitchFamily="34" charset="0"/>
          </a:endParaRPr>
        </a:p>
        <a:p>
          <a:pPr algn="r"/>
          <a:endParaRPr lang="en-AE" sz="1100" b="1">
            <a:latin typeface="Arial" panose="020B0604020202020204" pitchFamily="34" charset="0"/>
            <a:cs typeface="Arial" panose="020B0604020202020204" pitchFamily="34" charset="0"/>
          </a:endParaRPr>
        </a:p>
        <a:p>
          <a:pPr algn="r"/>
          <a:r>
            <a:rPr lang="en-AE" sz="1100" b="1">
              <a:latin typeface="Arial" panose="020B0604020202020204" pitchFamily="34" charset="0"/>
              <a:cs typeface="Arial" panose="020B0604020202020204" pitchFamily="34" charset="0"/>
            </a:rPr>
            <a:t>Total Complaints</a:t>
          </a:r>
        </a:p>
      </xdr:txBody>
    </xdr:sp>
    <xdr:clientData/>
  </xdr:twoCellAnchor>
  <xdr:twoCellAnchor>
    <xdr:from>
      <xdr:col>5</xdr:col>
      <xdr:colOff>274320</xdr:colOff>
      <xdr:row>4</xdr:row>
      <xdr:rowOff>30480</xdr:rowOff>
    </xdr:from>
    <xdr:to>
      <xdr:col>8</xdr:col>
      <xdr:colOff>137160</xdr:colOff>
      <xdr:row>8</xdr:row>
      <xdr:rowOff>121920</xdr:rowOff>
    </xdr:to>
    <xdr:sp macro="" textlink="">
      <xdr:nvSpPr>
        <xdr:cNvPr id="7" name="Rectangle: Rounded Corners 6">
          <a:extLst>
            <a:ext uri="{FF2B5EF4-FFF2-40B4-BE49-F238E27FC236}">
              <a16:creationId xmlns:a16="http://schemas.microsoft.com/office/drawing/2014/main" id="{A8248CCE-4D0B-45E1-8A7D-849D6CF741B7}"/>
            </a:ext>
          </a:extLst>
        </xdr:cNvPr>
        <xdr:cNvSpPr/>
      </xdr:nvSpPr>
      <xdr:spPr>
        <a:xfrm>
          <a:off x="3322320" y="762000"/>
          <a:ext cx="1691640" cy="822960"/>
        </a:xfrm>
        <a:prstGeom prst="roundRect">
          <a:avLst/>
        </a:prstGeom>
        <a:gradFill flip="none" rotWithShape="1">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b="1">
            <a:solidFill>
              <a:schemeClr val="bg1"/>
            </a:solidFill>
            <a:latin typeface="Arial" panose="020B0604020202020204" pitchFamily="34" charset="0"/>
            <a:cs typeface="Arial" panose="020B0604020202020204" pitchFamily="34" charset="0"/>
          </a:endParaRPr>
        </a:p>
        <a:p>
          <a:pPr algn="l"/>
          <a:endParaRPr lang="en-AE" sz="1100" b="1">
            <a:solidFill>
              <a:schemeClr val="bg1"/>
            </a:solidFill>
            <a:latin typeface="Arial" panose="020B0604020202020204" pitchFamily="34" charset="0"/>
            <a:cs typeface="Arial" panose="020B0604020202020204" pitchFamily="34" charset="0"/>
          </a:endParaRPr>
        </a:p>
        <a:p>
          <a:pPr algn="l"/>
          <a:endParaRPr lang="en-AE" sz="1100" b="1">
            <a:solidFill>
              <a:schemeClr val="bg1"/>
            </a:solidFill>
            <a:latin typeface="Arial" panose="020B0604020202020204" pitchFamily="34" charset="0"/>
            <a:cs typeface="Arial" panose="020B0604020202020204" pitchFamily="34" charset="0"/>
          </a:endParaRPr>
        </a:p>
        <a:p>
          <a:pPr algn="l"/>
          <a:r>
            <a:rPr lang="en-AE" sz="1100" b="1">
              <a:solidFill>
                <a:schemeClr val="bg1"/>
              </a:solidFill>
              <a:latin typeface="Arial" panose="020B0604020202020204" pitchFamily="34" charset="0"/>
              <a:cs typeface="Arial" panose="020B0604020202020204" pitchFamily="34" charset="0"/>
            </a:rPr>
            <a:t>Resolved</a:t>
          </a:r>
          <a:r>
            <a:rPr lang="en-AE" sz="1100" b="1" baseline="0">
              <a:solidFill>
                <a:schemeClr val="bg1"/>
              </a:solidFill>
              <a:latin typeface="Arial" panose="020B0604020202020204" pitchFamily="34" charset="0"/>
              <a:cs typeface="Arial" panose="020B0604020202020204" pitchFamily="34" charset="0"/>
            </a:rPr>
            <a:t> Complaints</a:t>
          </a:r>
          <a:endParaRPr lang="en-AE" sz="1100" b="1">
            <a:solidFill>
              <a:schemeClr val="bg1"/>
            </a:solidFill>
            <a:latin typeface="Arial" panose="020B0604020202020204" pitchFamily="34" charset="0"/>
            <a:cs typeface="Arial" panose="020B0604020202020204" pitchFamily="34" charset="0"/>
          </a:endParaRPr>
        </a:p>
      </xdr:txBody>
    </xdr:sp>
    <xdr:clientData/>
  </xdr:twoCellAnchor>
  <xdr:twoCellAnchor>
    <xdr:from>
      <xdr:col>8</xdr:col>
      <xdr:colOff>167640</xdr:colOff>
      <xdr:row>4</xdr:row>
      <xdr:rowOff>30480</xdr:rowOff>
    </xdr:from>
    <xdr:to>
      <xdr:col>11</xdr:col>
      <xdr:colOff>38100</xdr:colOff>
      <xdr:row>8</xdr:row>
      <xdr:rowOff>114300</xdr:rowOff>
    </xdr:to>
    <xdr:sp macro="" textlink="">
      <xdr:nvSpPr>
        <xdr:cNvPr id="8" name="Rectangle: Rounded Corners 7">
          <a:extLst>
            <a:ext uri="{FF2B5EF4-FFF2-40B4-BE49-F238E27FC236}">
              <a16:creationId xmlns:a16="http://schemas.microsoft.com/office/drawing/2014/main" id="{39AD861E-2E16-4E2D-A72D-55B811C40507}"/>
            </a:ext>
          </a:extLst>
        </xdr:cNvPr>
        <xdr:cNvSpPr/>
      </xdr:nvSpPr>
      <xdr:spPr>
        <a:xfrm>
          <a:off x="5044440" y="762000"/>
          <a:ext cx="1699260" cy="815340"/>
        </a:xfrm>
        <a:prstGeom prst="roundRect">
          <a:avLst/>
        </a:prstGeom>
        <a:gradFill flip="none" rotWithShape="1">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b="1">
            <a:solidFill>
              <a:schemeClr val="bg1"/>
            </a:solidFill>
            <a:latin typeface="Arial" panose="020B0604020202020204" pitchFamily="34" charset="0"/>
            <a:cs typeface="Arial" panose="020B0604020202020204" pitchFamily="34" charset="0"/>
          </a:endParaRPr>
        </a:p>
        <a:p>
          <a:pPr algn="l"/>
          <a:endParaRPr lang="en-AE" sz="1100" b="1">
            <a:solidFill>
              <a:schemeClr val="bg1"/>
            </a:solidFill>
            <a:latin typeface="Arial" panose="020B0604020202020204" pitchFamily="34" charset="0"/>
            <a:cs typeface="Arial" panose="020B0604020202020204" pitchFamily="34" charset="0"/>
          </a:endParaRPr>
        </a:p>
        <a:p>
          <a:pPr algn="l"/>
          <a:endParaRPr lang="en-AE" sz="1100" b="1">
            <a:solidFill>
              <a:schemeClr val="bg1"/>
            </a:solidFill>
            <a:latin typeface="Arial" panose="020B0604020202020204" pitchFamily="34" charset="0"/>
            <a:cs typeface="Arial" panose="020B0604020202020204" pitchFamily="34" charset="0"/>
          </a:endParaRPr>
        </a:p>
        <a:p>
          <a:pPr algn="l"/>
          <a:r>
            <a:rPr lang="en-AE" sz="1100" b="1">
              <a:solidFill>
                <a:schemeClr val="bg1"/>
              </a:solidFill>
              <a:latin typeface="Arial" panose="020B0604020202020204" pitchFamily="34" charset="0"/>
              <a:cs typeface="Arial" panose="020B0604020202020204" pitchFamily="34" charset="0"/>
            </a:rPr>
            <a:t>Avg Customer Rating</a:t>
          </a:r>
        </a:p>
      </xdr:txBody>
    </xdr:sp>
    <xdr:clientData/>
  </xdr:twoCellAnchor>
  <xdr:twoCellAnchor editAs="oneCell">
    <xdr:from>
      <xdr:col>13</xdr:col>
      <xdr:colOff>556260</xdr:colOff>
      <xdr:row>4</xdr:row>
      <xdr:rowOff>15240</xdr:rowOff>
    </xdr:from>
    <xdr:to>
      <xdr:col>22</xdr:col>
      <xdr:colOff>60960</xdr:colOff>
      <xdr:row>11</xdr:row>
      <xdr:rowOff>106680</xdr:rowOff>
    </xdr:to>
    <mc:AlternateContent xmlns:mc="http://schemas.openxmlformats.org/markup-compatibility/2006" xmlns:tsle="http://schemas.microsoft.com/office/drawing/2012/timeslicer">
      <mc:Choice Requires="tsle">
        <xdr:graphicFrame macro="">
          <xdr:nvGraphicFramePr>
            <xdr:cNvPr id="9" name="Complaint_Date">
              <a:extLst>
                <a:ext uri="{FF2B5EF4-FFF2-40B4-BE49-F238E27FC236}">
                  <a16:creationId xmlns:a16="http://schemas.microsoft.com/office/drawing/2014/main" id="{5A01D29E-DAAE-406F-AC2C-5B04ABDEE865}"/>
                </a:ext>
              </a:extLst>
            </xdr:cNvPr>
            <xdr:cNvGraphicFramePr/>
          </xdr:nvGraphicFramePr>
          <xdr:xfrm>
            <a:off x="0" y="0"/>
            <a:ext cx="0" cy="0"/>
          </xdr:xfrm>
          <a:graphic>
            <a:graphicData uri="http://schemas.microsoft.com/office/drawing/2012/timeslicer">
              <tsle:timeslicer name="Complaint_Date"/>
            </a:graphicData>
          </a:graphic>
        </xdr:graphicFrame>
      </mc:Choice>
      <mc:Fallback xmlns="">
        <xdr:sp macro="" textlink="">
          <xdr:nvSpPr>
            <xdr:cNvPr id="0" name=""/>
            <xdr:cNvSpPr>
              <a:spLocks noTextEdit="1"/>
            </xdr:cNvSpPr>
          </xdr:nvSpPr>
          <xdr:spPr>
            <a:xfrm>
              <a:off x="8481060" y="746760"/>
              <a:ext cx="4991100" cy="1371600"/>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twoCellAnchor editAs="oneCell">
    <xdr:from>
      <xdr:col>0</xdr:col>
      <xdr:colOff>129540</xdr:colOff>
      <xdr:row>22</xdr:row>
      <xdr:rowOff>38100</xdr:rowOff>
    </xdr:from>
    <xdr:to>
      <xdr:col>2</xdr:col>
      <xdr:colOff>434340</xdr:colOff>
      <xdr:row>32</xdr:row>
      <xdr:rowOff>7620</xdr:rowOff>
    </xdr:to>
    <mc:AlternateContent xmlns:mc="http://schemas.openxmlformats.org/markup-compatibility/2006" xmlns:a14="http://schemas.microsoft.com/office/drawing/2010/main">
      <mc:Choice Requires="a14">
        <xdr:graphicFrame macro="">
          <xdr:nvGraphicFramePr>
            <xdr:cNvPr id="10" name="Channel">
              <a:extLst>
                <a:ext uri="{FF2B5EF4-FFF2-40B4-BE49-F238E27FC236}">
                  <a16:creationId xmlns:a16="http://schemas.microsoft.com/office/drawing/2014/main" id="{56EE3C8E-0568-4271-ACEB-D1EDE09BE3E4}"/>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29540" y="4061460"/>
              <a:ext cx="1524000" cy="179832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6</xdr:row>
      <xdr:rowOff>175260</xdr:rowOff>
    </xdr:from>
    <xdr:to>
      <xdr:col>2</xdr:col>
      <xdr:colOff>518160</xdr:colOff>
      <xdr:row>21</xdr:row>
      <xdr:rowOff>30480</xdr:rowOff>
    </xdr:to>
    <mc:AlternateContent xmlns:mc="http://schemas.openxmlformats.org/markup-compatibility/2006" xmlns:a14="http://schemas.microsoft.com/office/drawing/2010/main">
      <mc:Choice Requires="a14">
        <xdr:graphicFrame macro="">
          <xdr:nvGraphicFramePr>
            <xdr:cNvPr id="12" name="Complaint_Type">
              <a:extLst>
                <a:ext uri="{FF2B5EF4-FFF2-40B4-BE49-F238E27FC236}">
                  <a16:creationId xmlns:a16="http://schemas.microsoft.com/office/drawing/2014/main" id="{CE61A505-603A-4FC8-BF2F-47BF75696282}"/>
                </a:ext>
              </a:extLst>
            </xdr:cNvPr>
            <xdr:cNvGraphicFramePr/>
          </xdr:nvGraphicFramePr>
          <xdr:xfrm>
            <a:off x="0" y="0"/>
            <a:ext cx="0" cy="0"/>
          </xdr:xfrm>
          <a:graphic>
            <a:graphicData uri="http://schemas.microsoft.com/office/drawing/2010/slicer">
              <sle:slicer xmlns:sle="http://schemas.microsoft.com/office/drawing/2010/slicer" name="Complaint_Type"/>
            </a:graphicData>
          </a:graphic>
        </xdr:graphicFrame>
      </mc:Choice>
      <mc:Fallback xmlns="">
        <xdr:sp macro="" textlink="">
          <xdr:nvSpPr>
            <xdr:cNvPr id="0" name=""/>
            <xdr:cNvSpPr>
              <a:spLocks noTextEdit="1"/>
            </xdr:cNvSpPr>
          </xdr:nvSpPr>
          <xdr:spPr>
            <a:xfrm>
              <a:off x="106680" y="1272540"/>
              <a:ext cx="1630680" cy="259842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601980</xdr:colOff>
      <xdr:row>11</xdr:row>
      <xdr:rowOff>152400</xdr:rowOff>
    </xdr:from>
    <xdr:to>
      <xdr:col>22</xdr:col>
      <xdr:colOff>121920</xdr:colOff>
      <xdr:row>15</xdr:row>
      <xdr:rowOff>30480</xdr:rowOff>
    </xdr:to>
    <mc:AlternateContent xmlns:mc="http://schemas.openxmlformats.org/markup-compatibility/2006" xmlns:a14="http://schemas.microsoft.com/office/drawing/2010/main">
      <mc:Choice Requires="a14">
        <xdr:graphicFrame macro="">
          <xdr:nvGraphicFramePr>
            <xdr:cNvPr id="13" name="Resolution_Status">
              <a:extLst>
                <a:ext uri="{FF2B5EF4-FFF2-40B4-BE49-F238E27FC236}">
                  <a16:creationId xmlns:a16="http://schemas.microsoft.com/office/drawing/2014/main" id="{0D5AD7E0-2D45-4CF1-998F-7366F0EBFFDF}"/>
                </a:ext>
              </a:extLst>
            </xdr:cNvPr>
            <xdr:cNvGraphicFramePr/>
          </xdr:nvGraphicFramePr>
          <xdr:xfrm>
            <a:off x="0" y="0"/>
            <a:ext cx="0" cy="0"/>
          </xdr:xfrm>
          <a:graphic>
            <a:graphicData uri="http://schemas.microsoft.com/office/drawing/2010/slicer">
              <sle:slicer xmlns:sle="http://schemas.microsoft.com/office/drawing/2010/slicer" name="Resolution_Status"/>
            </a:graphicData>
          </a:graphic>
        </xdr:graphicFrame>
      </mc:Choice>
      <mc:Fallback xmlns="">
        <xdr:sp macro="" textlink="">
          <xdr:nvSpPr>
            <xdr:cNvPr id="0" name=""/>
            <xdr:cNvSpPr>
              <a:spLocks noTextEdit="1"/>
            </xdr:cNvSpPr>
          </xdr:nvSpPr>
          <xdr:spPr>
            <a:xfrm>
              <a:off x="10965180" y="2164080"/>
              <a:ext cx="2567940" cy="6096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167640</xdr:colOff>
      <xdr:row>4</xdr:row>
      <xdr:rowOff>175260</xdr:rowOff>
    </xdr:from>
    <xdr:to>
      <xdr:col>4</xdr:col>
      <xdr:colOff>53340</xdr:colOff>
      <xdr:row>7</xdr:row>
      <xdr:rowOff>7620</xdr:rowOff>
    </xdr:to>
    <xdr:pic>
      <xdr:nvPicPr>
        <xdr:cNvPr id="15" name="Graphic 14" descr="Ticket outline">
          <a:extLst>
            <a:ext uri="{FF2B5EF4-FFF2-40B4-BE49-F238E27FC236}">
              <a16:creationId xmlns:a16="http://schemas.microsoft.com/office/drawing/2014/main" id="{45F80B28-ED44-8AF8-3721-6F758C475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96440" y="906780"/>
          <a:ext cx="495300" cy="381000"/>
        </a:xfrm>
        <a:prstGeom prst="rect">
          <a:avLst/>
        </a:prstGeom>
      </xdr:spPr>
    </xdr:pic>
    <xdr:clientData/>
  </xdr:twoCellAnchor>
  <xdr:twoCellAnchor>
    <xdr:from>
      <xdr:col>4</xdr:col>
      <xdr:colOff>53340</xdr:colOff>
      <xdr:row>5</xdr:row>
      <xdr:rowOff>45720</xdr:rowOff>
    </xdr:from>
    <xdr:to>
      <xdr:col>5</xdr:col>
      <xdr:colOff>259080</xdr:colOff>
      <xdr:row>6</xdr:row>
      <xdr:rowOff>152400</xdr:rowOff>
    </xdr:to>
    <xdr:sp macro="" textlink="Total_comp">
      <xdr:nvSpPr>
        <xdr:cNvPr id="16" name="TextBox 15">
          <a:extLst>
            <a:ext uri="{FF2B5EF4-FFF2-40B4-BE49-F238E27FC236}">
              <a16:creationId xmlns:a16="http://schemas.microsoft.com/office/drawing/2014/main" id="{6EE60130-135D-D8CB-0920-5D16895B3344}"/>
            </a:ext>
          </a:extLst>
        </xdr:cNvPr>
        <xdr:cNvSpPr txBox="1"/>
      </xdr:nvSpPr>
      <xdr:spPr>
        <a:xfrm>
          <a:off x="2491740" y="960120"/>
          <a:ext cx="8153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932305-A4CA-4ED3-841C-7271C0522809}" type="TxLink">
            <a:rPr lang="en-US" sz="1400" b="1" i="0" u="none" strike="noStrike">
              <a:solidFill>
                <a:schemeClr val="bg1"/>
              </a:solidFill>
              <a:latin typeface="Arial" panose="020B0604020202020204" pitchFamily="34" charset="0"/>
              <a:ea typeface="Calibri"/>
              <a:cs typeface="Arial" panose="020B0604020202020204" pitchFamily="34" charset="0"/>
            </a:rPr>
            <a:pPr/>
            <a:t>1200</a:t>
          </a:fld>
          <a:endParaRPr lang="en-AE" sz="14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5</xdr:col>
      <xdr:colOff>350520</xdr:colOff>
      <xdr:row>4</xdr:row>
      <xdr:rowOff>114300</xdr:rowOff>
    </xdr:from>
    <xdr:to>
      <xdr:col>6</xdr:col>
      <xdr:colOff>343044</xdr:colOff>
      <xdr:row>7</xdr:row>
      <xdr:rowOff>30480</xdr:rowOff>
    </xdr:to>
    <xdr:pic>
      <xdr:nvPicPr>
        <xdr:cNvPr id="18" name="Graphic 17" descr="Badge Tick with solid fill">
          <a:extLst>
            <a:ext uri="{FF2B5EF4-FFF2-40B4-BE49-F238E27FC236}">
              <a16:creationId xmlns:a16="http://schemas.microsoft.com/office/drawing/2014/main" id="{A28D573F-A83F-F4B3-AB60-968CF946970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98520" y="845820"/>
          <a:ext cx="602124" cy="464820"/>
        </a:xfrm>
        <a:prstGeom prst="rect">
          <a:avLst/>
        </a:prstGeom>
        <a:effectLst>
          <a:outerShdw blurRad="50800" dist="38100" dir="2700000" algn="tl" rotWithShape="0">
            <a:prstClr val="black">
              <a:alpha val="40000"/>
            </a:prstClr>
          </a:outerShdw>
        </a:effectLst>
      </xdr:spPr>
    </xdr:pic>
    <xdr:clientData/>
  </xdr:twoCellAnchor>
  <xdr:twoCellAnchor>
    <xdr:from>
      <xdr:col>6</xdr:col>
      <xdr:colOff>350520</xdr:colOff>
      <xdr:row>5</xdr:row>
      <xdr:rowOff>15240</xdr:rowOff>
    </xdr:from>
    <xdr:to>
      <xdr:col>7</xdr:col>
      <xdr:colOff>541020</xdr:colOff>
      <xdr:row>7</xdr:row>
      <xdr:rowOff>0</xdr:rowOff>
    </xdr:to>
    <xdr:sp macro="" textlink="resolved_comp">
      <xdr:nvSpPr>
        <xdr:cNvPr id="19" name="TextBox 18">
          <a:extLst>
            <a:ext uri="{FF2B5EF4-FFF2-40B4-BE49-F238E27FC236}">
              <a16:creationId xmlns:a16="http://schemas.microsoft.com/office/drawing/2014/main" id="{26D14431-EC32-1FA5-30B3-4BF025589283}"/>
            </a:ext>
          </a:extLst>
        </xdr:cNvPr>
        <xdr:cNvSpPr txBox="1"/>
      </xdr:nvSpPr>
      <xdr:spPr>
        <a:xfrm>
          <a:off x="4008120" y="929640"/>
          <a:ext cx="8001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ED9FA1-C4C5-4CE8-B028-781C9A8A22C2}" type="TxLink">
            <a:rPr lang="en-US" sz="1400" b="1" i="0" u="none" strike="noStrike">
              <a:solidFill>
                <a:schemeClr val="bg1"/>
              </a:solidFill>
              <a:latin typeface="Arial" panose="020B0604020202020204" pitchFamily="34" charset="0"/>
              <a:ea typeface="Calibri"/>
              <a:cs typeface="Arial" panose="020B0604020202020204" pitchFamily="34" charset="0"/>
            </a:rPr>
            <a:pPr/>
            <a:t>783</a:t>
          </a:fld>
          <a:endParaRPr lang="en-AE" sz="14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8</xdr:col>
      <xdr:colOff>213360</xdr:colOff>
      <xdr:row>4</xdr:row>
      <xdr:rowOff>121920</xdr:rowOff>
    </xdr:from>
    <xdr:to>
      <xdr:col>9</xdr:col>
      <xdr:colOff>213360</xdr:colOff>
      <xdr:row>7</xdr:row>
      <xdr:rowOff>38100</xdr:rowOff>
    </xdr:to>
    <xdr:pic>
      <xdr:nvPicPr>
        <xdr:cNvPr id="21" name="Graphic 20" descr="Rating 3 Star outline">
          <a:extLst>
            <a:ext uri="{FF2B5EF4-FFF2-40B4-BE49-F238E27FC236}">
              <a16:creationId xmlns:a16="http://schemas.microsoft.com/office/drawing/2014/main" id="{53BB31A0-2D41-4C8D-5578-170EAB1F83E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090160" y="853440"/>
          <a:ext cx="609600" cy="464820"/>
        </a:xfrm>
        <a:prstGeom prst="rect">
          <a:avLst/>
        </a:prstGeom>
      </xdr:spPr>
    </xdr:pic>
    <xdr:clientData/>
  </xdr:twoCellAnchor>
  <xdr:twoCellAnchor>
    <xdr:from>
      <xdr:col>9</xdr:col>
      <xdr:colOff>281940</xdr:colOff>
      <xdr:row>5</xdr:row>
      <xdr:rowOff>30480</xdr:rowOff>
    </xdr:from>
    <xdr:to>
      <xdr:col>10</xdr:col>
      <xdr:colOff>510540</xdr:colOff>
      <xdr:row>6</xdr:row>
      <xdr:rowOff>129540</xdr:rowOff>
    </xdr:to>
    <xdr:sp macro="" textlink="avgcustrating">
      <xdr:nvSpPr>
        <xdr:cNvPr id="22" name="TextBox 21">
          <a:extLst>
            <a:ext uri="{FF2B5EF4-FFF2-40B4-BE49-F238E27FC236}">
              <a16:creationId xmlns:a16="http://schemas.microsoft.com/office/drawing/2014/main" id="{95072139-E501-DD4D-CAED-C35940B2D1DE}"/>
            </a:ext>
          </a:extLst>
        </xdr:cNvPr>
        <xdr:cNvSpPr txBox="1"/>
      </xdr:nvSpPr>
      <xdr:spPr>
        <a:xfrm>
          <a:off x="5768340" y="944880"/>
          <a:ext cx="8382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DA0569-BE66-4B55-BA98-E8BB541B49F6}" type="TxLink">
            <a:rPr lang="en-US" sz="1400" b="1" i="0" u="none" strike="noStrike">
              <a:solidFill>
                <a:schemeClr val="bg1"/>
              </a:solidFill>
              <a:latin typeface="Arial" panose="020B0604020202020204" pitchFamily="34" charset="0"/>
              <a:ea typeface="Calibri"/>
              <a:cs typeface="Arial" panose="020B0604020202020204" pitchFamily="34" charset="0"/>
            </a:rPr>
            <a:pPr/>
            <a:t>3.22</a:t>
          </a:fld>
          <a:endParaRPr lang="en-AE" sz="1400" b="1">
            <a:solidFill>
              <a:schemeClr val="bg1"/>
            </a:solidFill>
            <a:latin typeface="Arial" panose="020B0604020202020204" pitchFamily="34" charset="0"/>
            <a:cs typeface="Arial" panose="020B0604020202020204" pitchFamily="34" charset="0"/>
          </a:endParaRPr>
        </a:p>
      </xdr:txBody>
    </xdr:sp>
    <xdr:clientData/>
  </xdr:twoCellAnchor>
  <xdr:twoCellAnchor>
    <xdr:from>
      <xdr:col>3</xdr:col>
      <xdr:colOff>22860</xdr:colOff>
      <xdr:row>8</xdr:row>
      <xdr:rowOff>152400</xdr:rowOff>
    </xdr:from>
    <xdr:to>
      <xdr:col>13</xdr:col>
      <xdr:colOff>487680</xdr:colOff>
      <xdr:row>22</xdr:row>
      <xdr:rowOff>60960</xdr:rowOff>
    </xdr:to>
    <xdr:graphicFrame macro="">
      <xdr:nvGraphicFramePr>
        <xdr:cNvPr id="23" name="Chart 22">
          <a:extLst>
            <a:ext uri="{FF2B5EF4-FFF2-40B4-BE49-F238E27FC236}">
              <a16:creationId xmlns:a16="http://schemas.microsoft.com/office/drawing/2014/main" id="{99017F0C-F473-4C37-8667-19F18FAA8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533400</xdr:colOff>
      <xdr:row>11</xdr:row>
      <xdr:rowOff>144779</xdr:rowOff>
    </xdr:from>
    <xdr:to>
      <xdr:col>17</xdr:col>
      <xdr:colOff>563880</xdr:colOff>
      <xdr:row>22</xdr:row>
      <xdr:rowOff>114300</xdr:rowOff>
    </xdr:to>
    <xdr:graphicFrame macro="">
      <xdr:nvGraphicFramePr>
        <xdr:cNvPr id="24" name="Chart 23">
          <a:extLst>
            <a:ext uri="{FF2B5EF4-FFF2-40B4-BE49-F238E27FC236}">
              <a16:creationId xmlns:a16="http://schemas.microsoft.com/office/drawing/2014/main" id="{94133788-EC3A-488F-9177-84A4B2628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0</xdr:colOff>
      <xdr:row>15</xdr:row>
      <xdr:rowOff>76200</xdr:rowOff>
    </xdr:from>
    <xdr:to>
      <xdr:col>22</xdr:col>
      <xdr:colOff>152400</xdr:colOff>
      <xdr:row>35</xdr:row>
      <xdr:rowOff>15240</xdr:rowOff>
    </xdr:to>
    <xdr:graphicFrame macro="">
      <xdr:nvGraphicFramePr>
        <xdr:cNvPr id="25" name="Chart 24">
          <a:extLst>
            <a:ext uri="{FF2B5EF4-FFF2-40B4-BE49-F238E27FC236}">
              <a16:creationId xmlns:a16="http://schemas.microsoft.com/office/drawing/2014/main" id="{1721079B-93CB-4FE4-ABDF-98CA68B03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53340</xdr:colOff>
      <xdr:row>22</xdr:row>
      <xdr:rowOff>106680</xdr:rowOff>
    </xdr:from>
    <xdr:to>
      <xdr:col>11</xdr:col>
      <xdr:colOff>502920</xdr:colOff>
      <xdr:row>35</xdr:row>
      <xdr:rowOff>15240</xdr:rowOff>
    </xdr:to>
    <xdr:graphicFrame macro="">
      <xdr:nvGraphicFramePr>
        <xdr:cNvPr id="26" name="Chart 25">
          <a:extLst>
            <a:ext uri="{FF2B5EF4-FFF2-40B4-BE49-F238E27FC236}">
              <a16:creationId xmlns:a16="http://schemas.microsoft.com/office/drawing/2014/main" id="{6ECFF636-81A4-4C4D-A1C4-11715A69A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541020</xdr:colOff>
      <xdr:row>22</xdr:row>
      <xdr:rowOff>137160</xdr:rowOff>
    </xdr:from>
    <xdr:to>
      <xdr:col>17</xdr:col>
      <xdr:colOff>579120</xdr:colOff>
      <xdr:row>35</xdr:row>
      <xdr:rowOff>7620</xdr:rowOff>
    </xdr:to>
    <xdr:graphicFrame macro="">
      <xdr:nvGraphicFramePr>
        <xdr:cNvPr id="27" name="Chart 26">
          <a:extLst>
            <a:ext uri="{FF2B5EF4-FFF2-40B4-BE49-F238E27FC236}">
              <a16:creationId xmlns:a16="http://schemas.microsoft.com/office/drawing/2014/main" id="{71261838-123E-4C0E-A7AB-9FA9A8BAA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76200</xdr:colOff>
      <xdr:row>4</xdr:row>
      <xdr:rowOff>30480</xdr:rowOff>
    </xdr:from>
    <xdr:to>
      <xdr:col>13</xdr:col>
      <xdr:colOff>518160</xdr:colOff>
      <xdr:row>8</xdr:row>
      <xdr:rowOff>121920</xdr:rowOff>
    </xdr:to>
    <xdr:sp macro="" textlink="">
      <xdr:nvSpPr>
        <xdr:cNvPr id="2" name="Rectangle: Rounded Corners 1">
          <a:extLst>
            <a:ext uri="{FF2B5EF4-FFF2-40B4-BE49-F238E27FC236}">
              <a16:creationId xmlns:a16="http://schemas.microsoft.com/office/drawing/2014/main" id="{73A00992-57BE-4390-B8EB-EC993A8EC155}"/>
            </a:ext>
          </a:extLst>
        </xdr:cNvPr>
        <xdr:cNvSpPr/>
      </xdr:nvSpPr>
      <xdr:spPr>
        <a:xfrm>
          <a:off x="6781800" y="762000"/>
          <a:ext cx="1661160" cy="822960"/>
        </a:xfrm>
        <a:prstGeom prst="roundRect">
          <a:avLst/>
        </a:prstGeom>
        <a:gradFill flip="none" rotWithShape="1">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AE" sz="1100" b="1">
            <a:latin typeface="Arial" panose="020B0604020202020204" pitchFamily="34" charset="0"/>
            <a:cs typeface="Arial" panose="020B0604020202020204" pitchFamily="34" charset="0"/>
          </a:endParaRPr>
        </a:p>
        <a:p>
          <a:pPr algn="ctr"/>
          <a:endParaRPr lang="en-AE" sz="1100" b="1">
            <a:latin typeface="Arial" panose="020B0604020202020204" pitchFamily="34" charset="0"/>
            <a:cs typeface="Arial" panose="020B0604020202020204" pitchFamily="34" charset="0"/>
          </a:endParaRPr>
        </a:p>
        <a:p>
          <a:pPr algn="ctr"/>
          <a:endParaRPr lang="en-AE" sz="1100" b="1">
            <a:latin typeface="Arial" panose="020B0604020202020204" pitchFamily="34" charset="0"/>
            <a:cs typeface="Arial" panose="020B0604020202020204" pitchFamily="34" charset="0"/>
          </a:endParaRPr>
        </a:p>
        <a:p>
          <a:pPr algn="ctr"/>
          <a:r>
            <a:rPr lang="en-AE" sz="1100" b="1">
              <a:latin typeface="Arial" panose="020B0604020202020204" pitchFamily="34" charset="0"/>
              <a:cs typeface="Arial" panose="020B0604020202020204" pitchFamily="34" charset="0"/>
            </a:rPr>
            <a:t>Avg</a:t>
          </a:r>
          <a:r>
            <a:rPr lang="en-AE" sz="1100" b="1" baseline="0">
              <a:latin typeface="Arial" panose="020B0604020202020204" pitchFamily="34" charset="0"/>
              <a:cs typeface="Arial" panose="020B0604020202020204" pitchFamily="34" charset="0"/>
            </a:rPr>
            <a:t> Resolution Time</a:t>
          </a:r>
          <a:endParaRPr lang="en-AE" sz="1100" b="1">
            <a:latin typeface="Arial" panose="020B0604020202020204" pitchFamily="34" charset="0"/>
            <a:cs typeface="Arial" panose="020B0604020202020204" pitchFamily="34" charset="0"/>
          </a:endParaRPr>
        </a:p>
      </xdr:txBody>
    </xdr:sp>
    <xdr:clientData/>
  </xdr:twoCellAnchor>
  <xdr:twoCellAnchor editAs="oneCell">
    <xdr:from>
      <xdr:col>11</xdr:col>
      <xdr:colOff>106680</xdr:colOff>
      <xdr:row>4</xdr:row>
      <xdr:rowOff>121920</xdr:rowOff>
    </xdr:from>
    <xdr:to>
      <xdr:col>11</xdr:col>
      <xdr:colOff>556260</xdr:colOff>
      <xdr:row>7</xdr:row>
      <xdr:rowOff>22860</xdr:rowOff>
    </xdr:to>
    <xdr:pic>
      <xdr:nvPicPr>
        <xdr:cNvPr id="20" name="Graphic 19" descr="Stopwatch 75% with solid fill">
          <a:extLst>
            <a:ext uri="{FF2B5EF4-FFF2-40B4-BE49-F238E27FC236}">
              <a16:creationId xmlns:a16="http://schemas.microsoft.com/office/drawing/2014/main" id="{D830BE3E-02AD-15C2-E3C1-AF52BC2E468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812280" y="853440"/>
          <a:ext cx="449580" cy="449580"/>
        </a:xfrm>
        <a:prstGeom prst="rect">
          <a:avLst/>
        </a:prstGeom>
      </xdr:spPr>
    </xdr:pic>
    <xdr:clientData/>
  </xdr:twoCellAnchor>
  <xdr:twoCellAnchor>
    <xdr:from>
      <xdr:col>11</xdr:col>
      <xdr:colOff>579120</xdr:colOff>
      <xdr:row>5</xdr:row>
      <xdr:rowOff>30480</xdr:rowOff>
    </xdr:from>
    <xdr:to>
      <xdr:col>13</xdr:col>
      <xdr:colOff>167640</xdr:colOff>
      <xdr:row>6</xdr:row>
      <xdr:rowOff>83820</xdr:rowOff>
    </xdr:to>
    <xdr:sp macro="" textlink="AvgResolutime">
      <xdr:nvSpPr>
        <xdr:cNvPr id="28" name="TextBox 27">
          <a:extLst>
            <a:ext uri="{FF2B5EF4-FFF2-40B4-BE49-F238E27FC236}">
              <a16:creationId xmlns:a16="http://schemas.microsoft.com/office/drawing/2014/main" id="{57D31E56-B0BF-61E2-B396-7DDFC42B973E}"/>
            </a:ext>
          </a:extLst>
        </xdr:cNvPr>
        <xdr:cNvSpPr txBox="1"/>
      </xdr:nvSpPr>
      <xdr:spPr>
        <a:xfrm>
          <a:off x="7284720" y="944880"/>
          <a:ext cx="8077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F46C4AE-A2AD-4CEC-A953-0F47D396F017}" type="TxLink">
            <a:rPr lang="en-US" sz="1400" b="1" i="0" u="none" strike="noStrike">
              <a:solidFill>
                <a:schemeClr val="bg1"/>
              </a:solidFill>
              <a:latin typeface="Arial" panose="020B0604020202020204" pitchFamily="34" charset="0"/>
              <a:ea typeface="Calibri"/>
              <a:cs typeface="Arial" panose="020B0604020202020204" pitchFamily="34" charset="0"/>
            </a:rPr>
            <a:pPr marL="0" indent="0"/>
            <a:t>27.70</a:t>
          </a:fld>
          <a:endParaRPr lang="en-AE" sz="1400" b="1" i="0" u="none" strike="noStrike">
            <a:solidFill>
              <a:schemeClr val="bg1"/>
            </a:solidFill>
            <a:latin typeface="Arial" panose="020B0604020202020204" pitchFamily="34" charset="0"/>
            <a:ea typeface="Calibri"/>
            <a:cs typeface="Arial" panose="020B0604020202020204" pitchFamily="34" charset="0"/>
          </a:endParaRPr>
        </a:p>
      </xdr:txBody>
    </xdr:sp>
    <xdr:clientData/>
  </xdr:twoCellAnchor>
  <xdr:twoCellAnchor>
    <xdr:from>
      <xdr:col>0</xdr:col>
      <xdr:colOff>83820</xdr:colOff>
      <xdr:row>0</xdr:row>
      <xdr:rowOff>38100</xdr:rowOff>
    </xdr:from>
    <xdr:to>
      <xdr:col>2</xdr:col>
      <xdr:colOff>464820</xdr:colOff>
      <xdr:row>4</xdr:row>
      <xdr:rowOff>60960</xdr:rowOff>
    </xdr:to>
    <xdr:sp macro="" textlink="">
      <xdr:nvSpPr>
        <xdr:cNvPr id="29" name="Rectangle: Beveled 28">
          <a:extLst>
            <a:ext uri="{FF2B5EF4-FFF2-40B4-BE49-F238E27FC236}">
              <a16:creationId xmlns:a16="http://schemas.microsoft.com/office/drawing/2014/main" id="{4F626876-C555-5538-C931-8BBF70F7871E}"/>
            </a:ext>
          </a:extLst>
        </xdr:cNvPr>
        <xdr:cNvSpPr/>
      </xdr:nvSpPr>
      <xdr:spPr>
        <a:xfrm>
          <a:off x="83820" y="38100"/>
          <a:ext cx="1600200" cy="754380"/>
        </a:xfrm>
        <a:prstGeom prst="bevel">
          <a:avLst/>
        </a:prstGeom>
        <a:no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n unni" refreshedDate="46144.415423379629" createdVersion="8" refreshedVersion="8" minRefreshableVersion="3" recordCount="1200" xr:uid="{92959699-FCB5-4F9A-A736-85829723B6D1}">
  <cacheSource type="worksheet">
    <worksheetSource name="Table1"/>
  </cacheSource>
  <cacheFields count="11">
    <cacheField name="Complaint_ID" numFmtId="0">
      <sharedItems/>
    </cacheField>
    <cacheField name="Customer_ID" numFmtId="0">
      <sharedItems/>
    </cacheField>
    <cacheField name="Complaint_Type" numFmtId="0">
      <sharedItems count="8">
        <s v="ATM Issue"/>
        <s v="Loan Inquiry"/>
        <s v="Fraud Investigation"/>
        <s v="Service Delay"/>
        <s v="Online Banking Error"/>
        <s v="Transaction Issue"/>
        <s v="Card Problem"/>
        <s v="Account Access"/>
      </sharedItems>
    </cacheField>
    <cacheField name="Channel" numFmtId="0">
      <sharedItems count="5">
        <s v="Email"/>
        <s v="Branch"/>
        <s v="Call Center"/>
        <s v="Website"/>
        <s v="Mobile App"/>
      </sharedItems>
    </cacheField>
    <cacheField name="Complaint_Date" numFmtId="164">
      <sharedItems containsSemiMixedTypes="0" containsNonDate="0" containsDate="1" containsString="0" minDate="2024-01-01T00:00:00" maxDate="2025-01-01T00:00:00" count="349">
        <d v="2024-10-20T00:00:00"/>
        <d v="2024-10-08T00:00:00"/>
        <d v="2024-09-30T00:00:00"/>
        <d v="2024-05-25T00:00:00"/>
        <d v="2024-03-08T00:00:00"/>
        <d v="2024-12-11T00:00:00"/>
        <d v="2024-06-27T00:00:00"/>
        <d v="2024-11-26T00:00:00"/>
        <d v="2024-07-16T00:00:00"/>
        <d v="2024-03-17T00:00:00"/>
        <d v="2024-01-03T00:00:00"/>
        <d v="2024-09-18T00:00:00"/>
        <d v="2024-08-20T00:00:00"/>
        <d v="2024-12-22T00:00:00"/>
        <d v="2024-07-26T00:00:00"/>
        <d v="2024-08-28T00:00:00"/>
        <d v="2024-06-18T00:00:00"/>
        <d v="2024-09-09T00:00:00"/>
        <d v="2024-03-01T00:00:00"/>
        <d v="2024-06-17T00:00:00"/>
        <d v="2024-02-29T00:00:00"/>
        <d v="2024-02-12T00:00:00"/>
        <d v="2024-01-18T00:00:00"/>
        <d v="2024-04-20T00:00:00"/>
        <d v="2024-09-16T00:00:00"/>
        <d v="2024-01-21T00:00:00"/>
        <d v="2024-01-31T00:00:00"/>
        <d v="2024-01-07T00:00:00"/>
        <d v="2024-07-31T00:00:00"/>
        <d v="2024-03-05T00:00:00"/>
        <d v="2024-08-13T00:00:00"/>
        <d v="2024-03-28T00:00:00"/>
        <d v="2024-11-17T00:00:00"/>
        <d v="2024-01-13T00:00:00"/>
        <d v="2024-08-08T00:00:00"/>
        <d v="2024-02-16T00:00:00"/>
        <d v="2024-06-21T00:00:00"/>
        <d v="2024-10-11T00:00:00"/>
        <d v="2024-05-18T00:00:00"/>
        <d v="2024-05-26T00:00:00"/>
        <d v="2024-08-26T00:00:00"/>
        <d v="2024-12-30T00:00:00"/>
        <d v="2024-08-24T00:00:00"/>
        <d v="2024-04-03T00:00:00"/>
        <d v="2024-02-25T00:00:00"/>
        <d v="2024-12-23T00:00:00"/>
        <d v="2024-02-01T00:00:00"/>
        <d v="2024-11-04T00:00:00"/>
        <d v="2024-08-27T00:00:00"/>
        <d v="2024-07-28T00:00:00"/>
        <d v="2024-08-11T00:00:00"/>
        <d v="2024-08-31T00:00:00"/>
        <d v="2024-01-10T00:00:00"/>
        <d v="2024-12-15T00:00:00"/>
        <d v="2024-05-19T00:00:00"/>
        <d v="2024-12-31T00:00:00"/>
        <d v="2024-07-14T00:00:00"/>
        <d v="2024-12-25T00:00:00"/>
        <d v="2024-04-16T00:00:00"/>
        <d v="2024-04-18T00:00:00"/>
        <d v="2024-06-09T00:00:00"/>
        <d v="2024-05-24T00:00:00"/>
        <d v="2024-01-24T00:00:00"/>
        <d v="2024-02-15T00:00:00"/>
        <d v="2024-02-06T00:00:00"/>
        <d v="2024-03-22T00:00:00"/>
        <d v="2024-05-14T00:00:00"/>
        <d v="2024-01-17T00:00:00"/>
        <d v="2024-04-21T00:00:00"/>
        <d v="2024-11-14T00:00:00"/>
        <d v="2024-12-06T00:00:00"/>
        <d v="2024-10-09T00:00:00"/>
        <d v="2024-11-24T00:00:00"/>
        <d v="2024-12-13T00:00:00"/>
        <d v="2024-10-16T00:00:00"/>
        <d v="2024-03-23T00:00:00"/>
        <d v="2024-03-25T00:00:00"/>
        <d v="2024-02-02T00:00:00"/>
        <d v="2024-06-24T00:00:00"/>
        <d v="2024-05-02T00:00:00"/>
        <d v="2024-02-10T00:00:00"/>
        <d v="2024-02-13T00:00:00"/>
        <d v="2024-09-28T00:00:00"/>
        <d v="2024-11-06T00:00:00"/>
        <d v="2024-09-27T00:00:00"/>
        <d v="2024-10-04T00:00:00"/>
        <d v="2024-04-11T00:00:00"/>
        <d v="2024-09-06T00:00:00"/>
        <d v="2024-11-02T00:00:00"/>
        <d v="2024-11-25T00:00:00"/>
        <d v="2024-05-04T00:00:00"/>
        <d v="2024-10-24T00:00:00"/>
        <d v="2024-05-30T00:00:00"/>
        <d v="2024-09-25T00:00:00"/>
        <d v="2024-07-04T00:00:00"/>
        <d v="2024-04-06T00:00:00"/>
        <d v="2024-07-01T00:00:00"/>
        <d v="2024-02-19T00:00:00"/>
        <d v="2024-08-21T00:00:00"/>
        <d v="2024-05-10T00:00:00"/>
        <d v="2024-10-26T00:00:00"/>
        <d v="2024-12-14T00:00:00"/>
        <d v="2024-07-23T00:00:00"/>
        <d v="2024-06-03T00:00:00"/>
        <d v="2024-03-11T00:00:00"/>
        <d v="2024-04-27T00:00:00"/>
        <d v="2024-04-04T00:00:00"/>
        <d v="2024-10-31T00:00:00"/>
        <d v="2024-07-21T00:00:00"/>
        <d v="2024-10-18T00:00:00"/>
        <d v="2024-09-12T00:00:00"/>
        <d v="2024-11-01T00:00:00"/>
        <d v="2024-06-30T00:00:00"/>
        <d v="2024-12-19T00:00:00"/>
        <d v="2024-03-03T00:00:00"/>
        <d v="2024-08-07T00:00:00"/>
        <d v="2024-10-22T00:00:00"/>
        <d v="2024-10-28T00:00:00"/>
        <d v="2024-09-24T00:00:00"/>
        <d v="2024-07-03T00:00:00"/>
        <d v="2024-08-14T00:00:00"/>
        <d v="2024-10-14T00:00:00"/>
        <d v="2024-06-08T00:00:00"/>
        <d v="2024-06-25T00:00:00"/>
        <d v="2024-10-07T00:00:00"/>
        <d v="2024-07-08T00:00:00"/>
        <d v="2024-01-27T00:00:00"/>
        <d v="2024-02-20T00:00:00"/>
        <d v="2024-02-27T00:00:00"/>
        <d v="2024-03-18T00:00:00"/>
        <d v="2024-12-10T00:00:00"/>
        <d v="2024-06-15T00:00:00"/>
        <d v="2024-11-22T00:00:00"/>
        <d v="2024-09-10T00:00:00"/>
        <d v="2024-11-09T00:00:00"/>
        <d v="2024-01-09T00:00:00"/>
        <d v="2024-01-29T00:00:00"/>
        <d v="2024-07-30T00:00:00"/>
        <d v="2024-03-06T00:00:00"/>
        <d v="2024-01-14T00:00:00"/>
        <d v="2024-05-20T00:00:00"/>
        <d v="2024-08-06T00:00:00"/>
        <d v="2024-08-23T00:00:00"/>
        <d v="2024-04-22T00:00:00"/>
        <d v="2024-05-22T00:00:00"/>
        <d v="2024-04-28T00:00:00"/>
        <d v="2024-08-19T00:00:00"/>
        <d v="2024-03-24T00:00:00"/>
        <d v="2024-03-07T00:00:00"/>
        <d v="2024-03-16T00:00:00"/>
        <d v="2024-02-21T00:00:00"/>
        <d v="2024-02-26T00:00:00"/>
        <d v="2024-09-15T00:00:00"/>
        <d v="2024-05-27T00:00:00"/>
        <d v="2024-09-19T00:00:00"/>
        <d v="2024-12-02T00:00:00"/>
        <d v="2024-07-12T00:00:00"/>
        <d v="2024-11-12T00:00:00"/>
        <d v="2024-07-05T00:00:00"/>
        <d v="2024-08-05T00:00:00"/>
        <d v="2024-03-15T00:00:00"/>
        <d v="2024-04-13T00:00:00"/>
        <d v="2024-11-18T00:00:00"/>
        <d v="2024-01-20T00:00:00"/>
        <d v="2024-02-09T00:00:00"/>
        <d v="2024-10-06T00:00:00"/>
        <d v="2024-11-23T00:00:00"/>
        <d v="2024-01-22T00:00:00"/>
        <d v="2024-08-09T00:00:00"/>
        <d v="2024-08-22T00:00:00"/>
        <d v="2024-07-06T00:00:00"/>
        <d v="2024-03-10T00:00:00"/>
        <d v="2024-11-16T00:00:00"/>
        <d v="2024-10-02T00:00:00"/>
        <d v="2024-10-17T00:00:00"/>
        <d v="2024-02-23T00:00:00"/>
        <d v="2024-08-16T00:00:00"/>
        <d v="2024-03-21T00:00:00"/>
        <d v="2024-02-18T00:00:00"/>
        <d v="2024-07-13T00:00:00"/>
        <d v="2024-08-17T00:00:00"/>
        <d v="2024-09-23T00:00:00"/>
        <d v="2024-10-12T00:00:00"/>
        <d v="2024-01-26T00:00:00"/>
        <d v="2024-04-29T00:00:00"/>
        <d v="2024-05-15T00:00:00"/>
        <d v="2024-11-03T00:00:00"/>
        <d v="2024-01-08T00:00:00"/>
        <d v="2024-05-31T00:00:00"/>
        <d v="2024-05-08T00:00:00"/>
        <d v="2024-07-11T00:00:00"/>
        <d v="2024-05-06T00:00:00"/>
        <d v="2024-02-11T00:00:00"/>
        <d v="2024-02-03T00:00:00"/>
        <d v="2024-05-07T00:00:00"/>
        <d v="2024-03-30T00:00:00"/>
        <d v="2024-08-04T00:00:00"/>
        <d v="2024-06-28T00:00:00"/>
        <d v="2024-06-05T00:00:00"/>
        <d v="2024-12-04T00:00:00"/>
        <d v="2024-05-05T00:00:00"/>
        <d v="2024-06-19T00:00:00"/>
        <d v="2024-03-20T00:00:00"/>
        <d v="2024-07-25T00:00:00"/>
        <d v="2024-06-07T00:00:00"/>
        <d v="2024-01-01T00:00:00"/>
        <d v="2024-12-03T00:00:00"/>
        <d v="2024-12-17T00:00:00"/>
        <d v="2024-03-19T00:00:00"/>
        <d v="2024-09-13T00:00:00"/>
        <d v="2024-02-24T00:00:00"/>
        <d v="2024-07-02T00:00:00"/>
        <d v="2024-04-12T00:00:00"/>
        <d v="2024-02-28T00:00:00"/>
        <d v="2024-04-10T00:00:00"/>
        <d v="2024-12-08T00:00:00"/>
        <d v="2024-05-09T00:00:00"/>
        <d v="2024-11-15T00:00:00"/>
        <d v="2024-10-13T00:00:00"/>
        <d v="2024-01-19T00:00:00"/>
        <d v="2024-02-04T00:00:00"/>
        <d v="2024-04-15T00:00:00"/>
        <d v="2024-05-29T00:00:00"/>
        <d v="2024-03-29T00:00:00"/>
        <d v="2024-03-14T00:00:00"/>
        <d v="2024-08-12T00:00:00"/>
        <d v="2024-06-06T00:00:00"/>
        <d v="2024-11-27T00:00:00"/>
        <d v="2024-03-12T00:00:00"/>
        <d v="2024-09-22T00:00:00"/>
        <d v="2024-12-27T00:00:00"/>
        <d v="2024-01-16T00:00:00"/>
        <d v="2024-09-17T00:00:00"/>
        <d v="2024-08-01T00:00:00"/>
        <d v="2024-11-05T00:00:00"/>
        <d v="2024-11-11T00:00:00"/>
        <d v="2024-02-07T00:00:00"/>
        <d v="2024-01-15T00:00:00"/>
        <d v="2024-04-09T00:00:00"/>
        <d v="2024-02-22T00:00:00"/>
        <d v="2024-08-15T00:00:00"/>
        <d v="2024-01-12T00:00:00"/>
        <d v="2024-10-25T00:00:00"/>
        <d v="2024-08-29T00:00:00"/>
        <d v="2024-02-05T00:00:00"/>
        <d v="2024-04-05T00:00:00"/>
        <d v="2024-09-04T00:00:00"/>
        <d v="2024-11-07T00:00:00"/>
        <d v="2024-03-27T00:00:00"/>
        <d v="2024-03-13T00:00:00"/>
        <d v="2024-07-17T00:00:00"/>
        <d v="2024-08-18T00:00:00"/>
        <d v="2024-01-23T00:00:00"/>
        <d v="2024-09-11T00:00:00"/>
        <d v="2024-11-29T00:00:00"/>
        <d v="2024-12-01T00:00:00"/>
        <d v="2024-12-18T00:00:00"/>
        <d v="2024-05-13T00:00:00"/>
        <d v="2024-08-02T00:00:00"/>
        <d v="2024-07-19T00:00:00"/>
        <d v="2024-06-10T00:00:00"/>
        <d v="2024-12-29T00:00:00"/>
        <d v="2024-01-04T00:00:00"/>
        <d v="2024-07-09T00:00:00"/>
        <d v="2024-04-26T00:00:00"/>
        <d v="2024-04-14T00:00:00"/>
        <d v="2024-09-01T00:00:00"/>
        <d v="2024-03-09T00:00:00"/>
        <d v="2024-11-13T00:00:00"/>
        <d v="2024-04-17T00:00:00"/>
        <d v="2024-11-08T00:00:00"/>
        <d v="2024-09-03T00:00:00"/>
        <d v="2024-08-30T00:00:00"/>
        <d v="2024-12-12T00:00:00"/>
        <d v="2024-06-12T00:00:00"/>
        <d v="2024-01-11T00:00:00"/>
        <d v="2024-06-20T00:00:00"/>
        <d v="2024-05-21T00:00:00"/>
        <d v="2024-04-30T00:00:00"/>
        <d v="2024-06-14T00:00:00"/>
        <d v="2024-12-16T00:00:00"/>
        <d v="2024-06-01T00:00:00"/>
        <d v="2024-11-28T00:00:00"/>
        <d v="2024-02-08T00:00:00"/>
        <d v="2024-01-25T00:00:00"/>
        <d v="2024-07-24T00:00:00"/>
        <d v="2024-06-04T00:00:00"/>
        <d v="2024-04-08T00:00:00"/>
        <d v="2024-04-02T00:00:00"/>
        <d v="2024-01-28T00:00:00"/>
        <d v="2024-09-21T00:00:00"/>
        <d v="2024-03-04T00:00:00"/>
        <d v="2024-07-10T00:00:00"/>
        <d v="2024-10-15T00:00:00"/>
        <d v="2024-12-21T00:00:00"/>
        <d v="2024-01-30T00:00:00"/>
        <d v="2024-05-23T00:00:00"/>
        <d v="2024-01-05T00:00:00"/>
        <d v="2024-04-24T00:00:00"/>
        <d v="2024-05-28T00:00:00"/>
        <d v="2024-07-07T00:00:00"/>
        <d v="2024-03-02T00:00:00"/>
        <d v="2024-06-02T00:00:00"/>
        <d v="2024-10-03T00:00:00"/>
        <d v="2024-01-02T00:00:00"/>
        <d v="2024-12-24T00:00:00"/>
        <d v="2024-09-05T00:00:00"/>
        <d v="2024-04-23T00:00:00"/>
        <d v="2024-07-18T00:00:00"/>
        <d v="2024-09-08T00:00:00"/>
        <d v="2024-10-23T00:00:00"/>
        <d v="2024-04-25T00:00:00"/>
        <d v="2024-12-26T00:00:00"/>
        <d v="2024-08-25T00:00:00"/>
        <d v="2024-11-30T00:00:00"/>
        <d v="2024-10-29T00:00:00"/>
        <d v="2024-07-22T00:00:00"/>
        <d v="2024-06-22T00:00:00"/>
        <d v="2024-04-07T00:00:00"/>
        <d v="2024-07-15T00:00:00"/>
        <d v="2024-06-29T00:00:00"/>
        <d v="2024-11-19T00:00:00"/>
        <d v="2024-05-16T00:00:00"/>
        <d v="2024-07-20T00:00:00"/>
        <d v="2024-10-10T00:00:00"/>
        <d v="2024-02-17T00:00:00"/>
        <d v="2024-10-19T00:00:00"/>
        <d v="2024-09-20T00:00:00"/>
        <d v="2024-08-10T00:00:00"/>
        <d v="2024-11-21T00:00:00"/>
        <d v="2024-12-20T00:00:00"/>
        <d v="2024-10-21T00:00:00"/>
        <d v="2024-08-03T00:00:00"/>
        <d v="2024-09-14T00:00:00"/>
        <d v="2024-01-06T00:00:00"/>
        <d v="2024-05-12T00:00:00"/>
        <d v="2024-03-31T00:00:00"/>
        <d v="2024-09-07T00:00:00"/>
        <d v="2024-03-26T00:00:00"/>
        <d v="2024-04-01T00:00:00"/>
        <d v="2024-06-16T00:00:00"/>
        <d v="2024-11-10T00:00:00"/>
        <d v="2024-09-29T00:00:00"/>
        <d v="2024-12-09T00:00:00"/>
        <d v="2024-09-26T00:00:00"/>
        <d v="2024-05-01T00:00:00"/>
        <d v="2024-07-27T00:00:00"/>
        <d v="2024-09-02T00:00:00"/>
        <d v="2024-06-13T00:00:00"/>
      </sharedItems>
      <fieldGroup par="10"/>
    </cacheField>
    <cacheField name="Resolution_Time_Hours" numFmtId="0">
      <sharedItems containsSemiMixedTypes="0" containsString="0" containsNumber="1" containsInteger="1" minValue="1" maxValue="96"/>
    </cacheField>
    <cacheField name="Resolution_Status" numFmtId="0">
      <sharedItems count="3">
        <s v="In Progress"/>
        <s v="Resolved"/>
        <s v="Pending"/>
      </sharedItems>
    </cacheField>
    <cacheField name="Resolution_Date" numFmtId="164">
      <sharedItems containsNonDate="0" containsDate="1" containsString="0" containsBlank="1" minDate="2024-01-01T00:00:00" maxDate="2025-01-03T00:00:00"/>
    </cacheField>
    <cacheField name="Customer_Rating" numFmtId="0">
      <sharedItems containsString="0" containsBlank="1" containsNumber="1" containsInteger="1" minValue="1" maxValue="5" count="6">
        <m/>
        <n v="4"/>
        <n v="2"/>
        <n v="5"/>
        <n v="1"/>
        <n v="3"/>
      </sharedItems>
    </cacheField>
    <cacheField name="Days (Complaint_Date)" numFmtId="0" databaseField="0">
      <fieldGroup base="4">
        <rangePr groupBy="days" startDate="2024-01-01T00: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Complaint_Date)" numFmtId="0" databaseField="0">
      <fieldGroup base="4">
        <rangePr groupBy="months" startDate="2024-01-01T00:00:00" endDate="2025-01-01T00:00:00"/>
        <groupItems count="14">
          <s v="&lt;01/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2027586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DBK-CMP-100000"/>
    <s v="DBK-CUS-500000"/>
    <x v="0"/>
    <x v="0"/>
    <x v="0"/>
    <n v="13"/>
    <x v="0"/>
    <m/>
    <x v="0"/>
  </r>
  <r>
    <s v="DBK-CMP-100001"/>
    <s v="DBK-CUS-500001"/>
    <x v="1"/>
    <x v="1"/>
    <x v="1"/>
    <n v="10"/>
    <x v="1"/>
    <d v="2024-10-08T00:00:00"/>
    <x v="1"/>
  </r>
  <r>
    <s v="DBK-CMP-100002"/>
    <s v="DBK-CUS-500002"/>
    <x v="0"/>
    <x v="1"/>
    <x v="2"/>
    <n v="38"/>
    <x v="1"/>
    <d v="2024-10-01T00:00:00"/>
    <x v="2"/>
  </r>
  <r>
    <s v="DBK-CMP-100003"/>
    <s v="DBK-CUS-500003"/>
    <x v="1"/>
    <x v="2"/>
    <x v="3"/>
    <n v="6"/>
    <x v="1"/>
    <d v="2024-05-25T00:00:00"/>
    <x v="3"/>
  </r>
  <r>
    <s v="DBK-CMP-100004"/>
    <s v="DBK-CUS-500004"/>
    <x v="1"/>
    <x v="1"/>
    <x v="4"/>
    <n v="9"/>
    <x v="0"/>
    <m/>
    <x v="0"/>
  </r>
  <r>
    <s v="DBK-CMP-100005"/>
    <s v="DBK-CUS-500005"/>
    <x v="2"/>
    <x v="0"/>
    <x v="5"/>
    <n v="48"/>
    <x v="0"/>
    <m/>
    <x v="0"/>
  </r>
  <r>
    <s v="DBK-CMP-100006"/>
    <s v="DBK-CUS-500006"/>
    <x v="1"/>
    <x v="3"/>
    <x v="6"/>
    <n v="33"/>
    <x v="2"/>
    <m/>
    <x v="0"/>
  </r>
  <r>
    <s v="DBK-CMP-100007"/>
    <s v="DBK-CUS-500007"/>
    <x v="3"/>
    <x v="1"/>
    <x v="7"/>
    <n v="42"/>
    <x v="1"/>
    <d v="2024-11-27T00:00:00"/>
    <x v="2"/>
  </r>
  <r>
    <s v="DBK-CMP-100008"/>
    <s v="DBK-CUS-500008"/>
    <x v="4"/>
    <x v="1"/>
    <x v="8"/>
    <n v="26"/>
    <x v="1"/>
    <d v="2024-07-17T00:00:00"/>
    <x v="3"/>
  </r>
  <r>
    <s v="DBK-CMP-100009"/>
    <s v="DBK-CUS-500009"/>
    <x v="5"/>
    <x v="2"/>
    <x v="9"/>
    <n v="4"/>
    <x v="2"/>
    <m/>
    <x v="0"/>
  </r>
  <r>
    <s v="DBK-CMP-100010"/>
    <s v="DBK-CUS-500010"/>
    <x v="0"/>
    <x v="3"/>
    <x v="10"/>
    <n v="46"/>
    <x v="2"/>
    <m/>
    <x v="0"/>
  </r>
  <r>
    <s v="DBK-CMP-100011"/>
    <s v="DBK-CUS-500011"/>
    <x v="0"/>
    <x v="2"/>
    <x v="11"/>
    <n v="37"/>
    <x v="2"/>
    <m/>
    <x v="0"/>
  </r>
  <r>
    <s v="DBK-CMP-100012"/>
    <s v="DBK-CUS-500012"/>
    <x v="3"/>
    <x v="1"/>
    <x v="12"/>
    <n v="53"/>
    <x v="1"/>
    <d v="2024-08-22T00:00:00"/>
    <x v="4"/>
  </r>
  <r>
    <s v="DBK-CMP-100013"/>
    <s v="DBK-CUS-500013"/>
    <x v="3"/>
    <x v="0"/>
    <x v="13"/>
    <n v="23"/>
    <x v="1"/>
    <d v="2024-12-22T00:00:00"/>
    <x v="5"/>
  </r>
  <r>
    <s v="DBK-CMP-100014"/>
    <s v="DBK-CUS-500014"/>
    <x v="6"/>
    <x v="1"/>
    <x v="14"/>
    <n v="8"/>
    <x v="1"/>
    <d v="2024-07-26T00:00:00"/>
    <x v="1"/>
  </r>
  <r>
    <s v="DBK-CMP-100015"/>
    <s v="DBK-CUS-500015"/>
    <x v="6"/>
    <x v="2"/>
    <x v="15"/>
    <n v="13"/>
    <x v="2"/>
    <m/>
    <x v="0"/>
  </r>
  <r>
    <s v="DBK-CMP-100016"/>
    <s v="DBK-CUS-500016"/>
    <x v="5"/>
    <x v="1"/>
    <x v="2"/>
    <n v="3"/>
    <x v="1"/>
    <d v="2024-09-30T00:00:00"/>
    <x v="3"/>
  </r>
  <r>
    <s v="DBK-CMP-100017"/>
    <s v="DBK-CUS-500017"/>
    <x v="3"/>
    <x v="1"/>
    <x v="16"/>
    <n v="13"/>
    <x v="1"/>
    <d v="2024-06-18T00:00:00"/>
    <x v="5"/>
  </r>
  <r>
    <s v="DBK-CMP-100018"/>
    <s v="DBK-CUS-500018"/>
    <x v="3"/>
    <x v="3"/>
    <x v="17"/>
    <n v="59"/>
    <x v="2"/>
    <m/>
    <x v="0"/>
  </r>
  <r>
    <s v="DBK-CMP-100019"/>
    <s v="DBK-CUS-500019"/>
    <x v="2"/>
    <x v="3"/>
    <x v="18"/>
    <n v="63"/>
    <x v="1"/>
    <d v="2024-03-03T00:00:00"/>
    <x v="4"/>
  </r>
  <r>
    <s v="DBK-CMP-100020"/>
    <s v="DBK-CUS-500020"/>
    <x v="6"/>
    <x v="1"/>
    <x v="19"/>
    <n v="7"/>
    <x v="1"/>
    <d v="2024-06-17T00:00:00"/>
    <x v="1"/>
  </r>
  <r>
    <s v="DBK-CMP-100021"/>
    <s v="DBK-CUS-500021"/>
    <x v="5"/>
    <x v="1"/>
    <x v="20"/>
    <n v="1"/>
    <x v="2"/>
    <m/>
    <x v="0"/>
  </r>
  <r>
    <s v="DBK-CMP-100022"/>
    <s v="DBK-CUS-500022"/>
    <x v="3"/>
    <x v="4"/>
    <x v="21"/>
    <n v="37"/>
    <x v="1"/>
    <d v="2024-02-13T00:00:00"/>
    <x v="2"/>
  </r>
  <r>
    <s v="DBK-CMP-100023"/>
    <s v="DBK-CUS-500023"/>
    <x v="4"/>
    <x v="2"/>
    <x v="22"/>
    <n v="37"/>
    <x v="0"/>
    <m/>
    <x v="0"/>
  </r>
  <r>
    <s v="DBK-CMP-100024"/>
    <s v="DBK-CUS-500024"/>
    <x v="0"/>
    <x v="0"/>
    <x v="23"/>
    <n v="14"/>
    <x v="1"/>
    <d v="2024-04-20T00:00:00"/>
    <x v="5"/>
  </r>
  <r>
    <s v="DBK-CMP-100025"/>
    <s v="DBK-CUS-500025"/>
    <x v="2"/>
    <x v="1"/>
    <x v="24"/>
    <n v="88"/>
    <x v="1"/>
    <d v="2024-09-19T00:00:00"/>
    <x v="3"/>
  </r>
  <r>
    <s v="DBK-CMP-100026"/>
    <s v="DBK-CUS-500026"/>
    <x v="7"/>
    <x v="3"/>
    <x v="25"/>
    <n v="2"/>
    <x v="1"/>
    <d v="2024-01-21T00:00:00"/>
    <x v="3"/>
  </r>
  <r>
    <s v="DBK-CMP-100027"/>
    <s v="DBK-CUS-500027"/>
    <x v="7"/>
    <x v="1"/>
    <x v="26"/>
    <n v="3"/>
    <x v="2"/>
    <m/>
    <x v="0"/>
  </r>
  <r>
    <s v="DBK-CMP-100028"/>
    <s v="DBK-CUS-500028"/>
    <x v="1"/>
    <x v="1"/>
    <x v="27"/>
    <n v="4"/>
    <x v="0"/>
    <m/>
    <x v="0"/>
  </r>
  <r>
    <s v="DBK-CMP-100029"/>
    <s v="DBK-CUS-500029"/>
    <x v="2"/>
    <x v="0"/>
    <x v="28"/>
    <n v="77"/>
    <x v="1"/>
    <d v="2024-08-03T00:00:00"/>
    <x v="3"/>
  </r>
  <r>
    <s v="DBK-CMP-100030"/>
    <s v="DBK-CUS-500030"/>
    <x v="5"/>
    <x v="2"/>
    <x v="29"/>
    <n v="5"/>
    <x v="1"/>
    <d v="2024-03-05T00:00:00"/>
    <x v="3"/>
  </r>
  <r>
    <s v="DBK-CMP-100031"/>
    <s v="DBK-CUS-500031"/>
    <x v="2"/>
    <x v="0"/>
    <x v="30"/>
    <n v="83"/>
    <x v="2"/>
    <m/>
    <x v="0"/>
  </r>
  <r>
    <s v="DBK-CMP-100032"/>
    <s v="DBK-CUS-500032"/>
    <x v="3"/>
    <x v="3"/>
    <x v="26"/>
    <n v="50"/>
    <x v="1"/>
    <d v="2024-02-02T00:00:00"/>
    <x v="4"/>
  </r>
  <r>
    <s v="DBK-CMP-100033"/>
    <s v="DBK-CUS-500033"/>
    <x v="2"/>
    <x v="3"/>
    <x v="19"/>
    <n v="60"/>
    <x v="1"/>
    <d v="2024-06-19T00:00:00"/>
    <x v="4"/>
  </r>
  <r>
    <s v="DBK-CMP-100034"/>
    <s v="DBK-CUS-500034"/>
    <x v="4"/>
    <x v="2"/>
    <x v="31"/>
    <n v="64"/>
    <x v="1"/>
    <d v="2024-03-30T00:00:00"/>
    <x v="4"/>
  </r>
  <r>
    <s v="DBK-CMP-100035"/>
    <s v="DBK-CUS-500035"/>
    <x v="3"/>
    <x v="2"/>
    <x v="32"/>
    <n v="36"/>
    <x v="2"/>
    <m/>
    <x v="0"/>
  </r>
  <r>
    <s v="DBK-CMP-100036"/>
    <s v="DBK-CUS-500036"/>
    <x v="7"/>
    <x v="1"/>
    <x v="33"/>
    <n v="13"/>
    <x v="1"/>
    <d v="2024-01-13T00:00:00"/>
    <x v="3"/>
  </r>
  <r>
    <s v="DBK-CMP-100037"/>
    <s v="DBK-CUS-500037"/>
    <x v="2"/>
    <x v="2"/>
    <x v="34"/>
    <n v="31"/>
    <x v="1"/>
    <d v="2024-08-09T00:00:00"/>
    <x v="2"/>
  </r>
  <r>
    <s v="DBK-CMP-100038"/>
    <s v="DBK-CUS-500038"/>
    <x v="4"/>
    <x v="1"/>
    <x v="35"/>
    <n v="64"/>
    <x v="2"/>
    <m/>
    <x v="0"/>
  </r>
  <r>
    <s v="DBK-CMP-100039"/>
    <s v="DBK-CUS-500039"/>
    <x v="0"/>
    <x v="3"/>
    <x v="36"/>
    <n v="22"/>
    <x v="1"/>
    <d v="2024-06-21T00:00:00"/>
    <x v="5"/>
  </r>
  <r>
    <s v="DBK-CMP-100040"/>
    <s v="DBK-CUS-500040"/>
    <x v="6"/>
    <x v="3"/>
    <x v="37"/>
    <n v="10"/>
    <x v="0"/>
    <m/>
    <x v="0"/>
  </r>
  <r>
    <s v="DBK-CMP-100041"/>
    <s v="DBK-CUS-500041"/>
    <x v="4"/>
    <x v="1"/>
    <x v="38"/>
    <n v="44"/>
    <x v="1"/>
    <d v="2024-05-19T00:00:00"/>
    <x v="2"/>
  </r>
  <r>
    <s v="DBK-CMP-100042"/>
    <s v="DBK-CUS-500042"/>
    <x v="2"/>
    <x v="2"/>
    <x v="30"/>
    <n v="69"/>
    <x v="0"/>
    <m/>
    <x v="0"/>
  </r>
  <r>
    <s v="DBK-CMP-100043"/>
    <s v="DBK-CUS-500043"/>
    <x v="0"/>
    <x v="3"/>
    <x v="39"/>
    <n v="23"/>
    <x v="0"/>
    <m/>
    <x v="0"/>
  </r>
  <r>
    <s v="DBK-CMP-100044"/>
    <s v="DBK-CUS-500044"/>
    <x v="5"/>
    <x v="4"/>
    <x v="18"/>
    <n v="10"/>
    <x v="1"/>
    <d v="2024-03-01T00:00:00"/>
    <x v="3"/>
  </r>
  <r>
    <s v="DBK-CMP-100045"/>
    <s v="DBK-CUS-500045"/>
    <x v="5"/>
    <x v="4"/>
    <x v="40"/>
    <n v="10"/>
    <x v="1"/>
    <d v="2024-08-26T00:00:00"/>
    <x v="1"/>
  </r>
  <r>
    <s v="DBK-CMP-100046"/>
    <s v="DBK-CUS-500046"/>
    <x v="0"/>
    <x v="4"/>
    <x v="41"/>
    <n v="6"/>
    <x v="1"/>
    <d v="2024-12-30T00:00:00"/>
    <x v="3"/>
  </r>
  <r>
    <s v="DBK-CMP-100047"/>
    <s v="DBK-CUS-500047"/>
    <x v="5"/>
    <x v="1"/>
    <x v="42"/>
    <n v="8"/>
    <x v="1"/>
    <d v="2024-08-24T00:00:00"/>
    <x v="1"/>
  </r>
  <r>
    <s v="DBK-CMP-100048"/>
    <s v="DBK-CUS-500048"/>
    <x v="4"/>
    <x v="1"/>
    <x v="43"/>
    <n v="51"/>
    <x v="1"/>
    <d v="2024-04-05T00:00:00"/>
    <x v="4"/>
  </r>
  <r>
    <s v="DBK-CMP-100049"/>
    <s v="DBK-CUS-500049"/>
    <x v="6"/>
    <x v="4"/>
    <x v="44"/>
    <n v="15"/>
    <x v="1"/>
    <d v="2024-02-25T00:00:00"/>
    <x v="5"/>
  </r>
  <r>
    <s v="DBK-CMP-100050"/>
    <s v="DBK-CUS-500050"/>
    <x v="0"/>
    <x v="3"/>
    <x v="45"/>
    <n v="15"/>
    <x v="0"/>
    <m/>
    <x v="0"/>
  </r>
  <r>
    <s v="DBK-CMP-100051"/>
    <s v="DBK-CUS-500051"/>
    <x v="2"/>
    <x v="4"/>
    <x v="46"/>
    <n v="65"/>
    <x v="0"/>
    <m/>
    <x v="0"/>
  </r>
  <r>
    <s v="DBK-CMP-100052"/>
    <s v="DBK-CUS-500052"/>
    <x v="5"/>
    <x v="0"/>
    <x v="47"/>
    <n v="6"/>
    <x v="0"/>
    <m/>
    <x v="0"/>
  </r>
  <r>
    <s v="DBK-CMP-100053"/>
    <s v="DBK-CUS-500053"/>
    <x v="6"/>
    <x v="2"/>
    <x v="48"/>
    <n v="13"/>
    <x v="1"/>
    <d v="2024-08-27T00:00:00"/>
    <x v="5"/>
  </r>
  <r>
    <s v="DBK-CMP-100054"/>
    <s v="DBK-CUS-500054"/>
    <x v="0"/>
    <x v="0"/>
    <x v="49"/>
    <n v="14"/>
    <x v="2"/>
    <m/>
    <x v="0"/>
  </r>
  <r>
    <s v="DBK-CMP-100055"/>
    <s v="DBK-CUS-500055"/>
    <x v="7"/>
    <x v="0"/>
    <x v="50"/>
    <n v="21"/>
    <x v="0"/>
    <m/>
    <x v="0"/>
  </r>
  <r>
    <s v="DBK-CMP-100056"/>
    <s v="DBK-CUS-500056"/>
    <x v="2"/>
    <x v="3"/>
    <x v="51"/>
    <n v="95"/>
    <x v="1"/>
    <d v="2024-09-03T00:00:00"/>
    <x v="4"/>
  </r>
  <r>
    <s v="DBK-CMP-100057"/>
    <s v="DBK-CUS-500057"/>
    <x v="4"/>
    <x v="1"/>
    <x v="52"/>
    <n v="72"/>
    <x v="1"/>
    <d v="2024-01-13T00:00:00"/>
    <x v="4"/>
  </r>
  <r>
    <s v="DBK-CMP-100058"/>
    <s v="DBK-CUS-500058"/>
    <x v="5"/>
    <x v="0"/>
    <x v="53"/>
    <n v="6"/>
    <x v="0"/>
    <m/>
    <x v="0"/>
  </r>
  <r>
    <s v="DBK-CMP-100059"/>
    <s v="DBK-CUS-500059"/>
    <x v="2"/>
    <x v="4"/>
    <x v="54"/>
    <n v="72"/>
    <x v="1"/>
    <d v="2024-05-22T00:00:00"/>
    <x v="4"/>
  </r>
  <r>
    <s v="DBK-CMP-100060"/>
    <s v="DBK-CUS-500060"/>
    <x v="3"/>
    <x v="1"/>
    <x v="55"/>
    <n v="43"/>
    <x v="0"/>
    <m/>
    <x v="0"/>
  </r>
  <r>
    <s v="DBK-CMP-100061"/>
    <s v="DBK-CUS-500061"/>
    <x v="0"/>
    <x v="2"/>
    <x v="56"/>
    <n v="5"/>
    <x v="1"/>
    <d v="2024-07-14T00:00:00"/>
    <x v="3"/>
  </r>
  <r>
    <s v="DBK-CMP-100062"/>
    <s v="DBK-CUS-500062"/>
    <x v="2"/>
    <x v="3"/>
    <x v="57"/>
    <n v="87"/>
    <x v="1"/>
    <d v="2024-12-28T00:00:00"/>
    <x v="3"/>
  </r>
  <r>
    <s v="DBK-CMP-100063"/>
    <s v="DBK-CUS-500063"/>
    <x v="2"/>
    <x v="2"/>
    <x v="58"/>
    <n v="35"/>
    <x v="1"/>
    <d v="2024-04-17T00:00:00"/>
    <x v="3"/>
  </r>
  <r>
    <s v="DBK-CMP-100064"/>
    <s v="DBK-CUS-500064"/>
    <x v="6"/>
    <x v="3"/>
    <x v="36"/>
    <n v="12"/>
    <x v="0"/>
    <m/>
    <x v="0"/>
  </r>
  <r>
    <s v="DBK-CMP-100065"/>
    <s v="DBK-CUS-500065"/>
    <x v="5"/>
    <x v="0"/>
    <x v="59"/>
    <n v="11"/>
    <x v="1"/>
    <d v="2024-04-18T00:00:00"/>
    <x v="1"/>
  </r>
  <r>
    <s v="DBK-CMP-100066"/>
    <s v="DBK-CUS-500066"/>
    <x v="2"/>
    <x v="4"/>
    <x v="41"/>
    <n v="30"/>
    <x v="1"/>
    <d v="2024-12-31T00:00:00"/>
    <x v="2"/>
  </r>
  <r>
    <s v="DBK-CMP-100067"/>
    <s v="DBK-CUS-500067"/>
    <x v="3"/>
    <x v="2"/>
    <x v="32"/>
    <n v="53"/>
    <x v="2"/>
    <m/>
    <x v="0"/>
  </r>
  <r>
    <s v="DBK-CMP-100068"/>
    <s v="DBK-CUS-500068"/>
    <x v="1"/>
    <x v="2"/>
    <x v="60"/>
    <n v="28"/>
    <x v="1"/>
    <d v="2024-06-10T00:00:00"/>
    <x v="2"/>
  </r>
  <r>
    <s v="DBK-CMP-100069"/>
    <s v="DBK-CUS-500069"/>
    <x v="4"/>
    <x v="2"/>
    <x v="61"/>
    <n v="38"/>
    <x v="1"/>
    <d v="2024-05-25T00:00:00"/>
    <x v="2"/>
  </r>
  <r>
    <s v="DBK-CMP-100070"/>
    <s v="DBK-CUS-500070"/>
    <x v="5"/>
    <x v="3"/>
    <x v="62"/>
    <n v="10"/>
    <x v="0"/>
    <m/>
    <x v="0"/>
  </r>
  <r>
    <s v="DBK-CMP-100071"/>
    <s v="DBK-CUS-500071"/>
    <x v="1"/>
    <x v="4"/>
    <x v="63"/>
    <n v="28"/>
    <x v="0"/>
    <m/>
    <x v="0"/>
  </r>
  <r>
    <s v="DBK-CMP-100072"/>
    <s v="DBK-CUS-500072"/>
    <x v="5"/>
    <x v="1"/>
    <x v="51"/>
    <n v="8"/>
    <x v="1"/>
    <d v="2024-08-31T00:00:00"/>
    <x v="1"/>
  </r>
  <r>
    <s v="DBK-CMP-100073"/>
    <s v="DBK-CUS-500073"/>
    <x v="4"/>
    <x v="3"/>
    <x v="64"/>
    <n v="35"/>
    <x v="1"/>
    <d v="2024-02-07T00:00:00"/>
    <x v="3"/>
  </r>
  <r>
    <s v="DBK-CMP-100074"/>
    <s v="DBK-CUS-500074"/>
    <x v="7"/>
    <x v="3"/>
    <x v="36"/>
    <n v="10"/>
    <x v="1"/>
    <d v="2024-06-21T00:00:00"/>
    <x v="1"/>
  </r>
  <r>
    <s v="DBK-CMP-100075"/>
    <s v="DBK-CUS-500075"/>
    <x v="0"/>
    <x v="3"/>
    <x v="65"/>
    <n v="46"/>
    <x v="0"/>
    <m/>
    <x v="0"/>
  </r>
  <r>
    <s v="DBK-CMP-100076"/>
    <s v="DBK-CUS-500076"/>
    <x v="1"/>
    <x v="4"/>
    <x v="66"/>
    <n v="9"/>
    <x v="1"/>
    <d v="2024-05-14T00:00:00"/>
    <x v="1"/>
  </r>
  <r>
    <s v="DBK-CMP-100077"/>
    <s v="DBK-CUS-500077"/>
    <x v="1"/>
    <x v="2"/>
    <x v="67"/>
    <n v="6"/>
    <x v="1"/>
    <d v="2024-01-17T00:00:00"/>
    <x v="3"/>
  </r>
  <r>
    <s v="DBK-CMP-100078"/>
    <s v="DBK-CUS-500078"/>
    <x v="5"/>
    <x v="2"/>
    <x v="68"/>
    <n v="8"/>
    <x v="1"/>
    <d v="2024-04-21T00:00:00"/>
    <x v="1"/>
  </r>
  <r>
    <s v="DBK-CMP-100079"/>
    <s v="DBK-CUS-500079"/>
    <x v="2"/>
    <x v="3"/>
    <x v="69"/>
    <n v="64"/>
    <x v="1"/>
    <d v="2024-11-16T00:00:00"/>
    <x v="4"/>
  </r>
  <r>
    <s v="DBK-CMP-100080"/>
    <s v="DBK-CUS-500080"/>
    <x v="1"/>
    <x v="4"/>
    <x v="70"/>
    <n v="10"/>
    <x v="0"/>
    <m/>
    <x v="0"/>
  </r>
  <r>
    <s v="DBK-CMP-100081"/>
    <s v="DBK-CUS-500081"/>
    <x v="4"/>
    <x v="4"/>
    <x v="71"/>
    <n v="58"/>
    <x v="0"/>
    <m/>
    <x v="0"/>
  </r>
  <r>
    <s v="DBK-CMP-100082"/>
    <s v="DBK-CUS-500082"/>
    <x v="3"/>
    <x v="1"/>
    <x v="72"/>
    <n v="41"/>
    <x v="1"/>
    <d v="2024-11-25T00:00:00"/>
    <x v="3"/>
  </r>
  <r>
    <s v="DBK-CMP-100083"/>
    <s v="DBK-CUS-500083"/>
    <x v="6"/>
    <x v="4"/>
    <x v="73"/>
    <n v="20"/>
    <x v="1"/>
    <d v="2024-12-13T00:00:00"/>
    <x v="5"/>
  </r>
  <r>
    <s v="DBK-CMP-100084"/>
    <s v="DBK-CUS-500084"/>
    <x v="0"/>
    <x v="3"/>
    <x v="14"/>
    <n v="28"/>
    <x v="2"/>
    <m/>
    <x v="0"/>
  </r>
  <r>
    <s v="DBK-CMP-100085"/>
    <s v="DBK-CUS-500085"/>
    <x v="0"/>
    <x v="1"/>
    <x v="74"/>
    <n v="45"/>
    <x v="1"/>
    <d v="2024-10-17T00:00:00"/>
    <x v="2"/>
  </r>
  <r>
    <s v="DBK-CMP-100086"/>
    <s v="DBK-CUS-500086"/>
    <x v="5"/>
    <x v="4"/>
    <x v="75"/>
    <n v="7"/>
    <x v="2"/>
    <m/>
    <x v="0"/>
  </r>
  <r>
    <s v="DBK-CMP-100087"/>
    <s v="DBK-CUS-500087"/>
    <x v="4"/>
    <x v="4"/>
    <x v="76"/>
    <n v="41"/>
    <x v="0"/>
    <m/>
    <x v="0"/>
  </r>
  <r>
    <s v="DBK-CMP-100088"/>
    <s v="DBK-CUS-500088"/>
    <x v="5"/>
    <x v="0"/>
    <x v="77"/>
    <n v="8"/>
    <x v="1"/>
    <d v="2024-02-02T00:00:00"/>
    <x v="1"/>
  </r>
  <r>
    <s v="DBK-CMP-100089"/>
    <s v="DBK-CUS-500089"/>
    <x v="5"/>
    <x v="3"/>
    <x v="63"/>
    <n v="3"/>
    <x v="2"/>
    <m/>
    <x v="0"/>
  </r>
  <r>
    <s v="DBK-CMP-100090"/>
    <s v="DBK-CUS-500090"/>
    <x v="5"/>
    <x v="1"/>
    <x v="34"/>
    <n v="10"/>
    <x v="2"/>
    <m/>
    <x v="0"/>
  </r>
  <r>
    <s v="DBK-CMP-100091"/>
    <s v="DBK-CUS-500091"/>
    <x v="5"/>
    <x v="4"/>
    <x v="78"/>
    <n v="6"/>
    <x v="1"/>
    <d v="2024-06-24T00:00:00"/>
    <x v="3"/>
  </r>
  <r>
    <s v="DBK-CMP-100092"/>
    <s v="DBK-CUS-500092"/>
    <x v="7"/>
    <x v="3"/>
    <x v="5"/>
    <n v="11"/>
    <x v="1"/>
    <d v="2024-12-11T00:00:00"/>
    <x v="3"/>
  </r>
  <r>
    <s v="DBK-CMP-100093"/>
    <s v="DBK-CUS-500093"/>
    <x v="6"/>
    <x v="4"/>
    <x v="79"/>
    <n v="23"/>
    <x v="1"/>
    <d v="2024-05-02T00:00:00"/>
    <x v="5"/>
  </r>
  <r>
    <s v="DBK-CMP-100094"/>
    <s v="DBK-CUS-500094"/>
    <x v="5"/>
    <x v="2"/>
    <x v="9"/>
    <n v="10"/>
    <x v="1"/>
    <d v="2024-03-17T00:00:00"/>
    <x v="1"/>
  </r>
  <r>
    <s v="DBK-CMP-100095"/>
    <s v="DBK-CUS-500095"/>
    <x v="3"/>
    <x v="0"/>
    <x v="80"/>
    <n v="29"/>
    <x v="0"/>
    <m/>
    <x v="0"/>
  </r>
  <r>
    <s v="DBK-CMP-100096"/>
    <s v="DBK-CUS-500096"/>
    <x v="3"/>
    <x v="1"/>
    <x v="6"/>
    <n v="28"/>
    <x v="1"/>
    <d v="2024-06-28T00:00:00"/>
    <x v="2"/>
  </r>
  <r>
    <s v="DBK-CMP-100097"/>
    <s v="DBK-CUS-500097"/>
    <x v="3"/>
    <x v="1"/>
    <x v="81"/>
    <n v="13"/>
    <x v="1"/>
    <d v="2024-02-13T00:00:00"/>
    <x v="3"/>
  </r>
  <r>
    <s v="DBK-CMP-100098"/>
    <s v="DBK-CUS-500098"/>
    <x v="6"/>
    <x v="1"/>
    <x v="82"/>
    <n v="21"/>
    <x v="0"/>
    <m/>
    <x v="0"/>
  </r>
  <r>
    <s v="DBK-CMP-100099"/>
    <s v="DBK-CUS-500099"/>
    <x v="2"/>
    <x v="3"/>
    <x v="83"/>
    <n v="42"/>
    <x v="1"/>
    <d v="2024-11-07T00:00:00"/>
    <x v="2"/>
  </r>
  <r>
    <s v="DBK-CMP-100100"/>
    <s v="DBK-CUS-500100"/>
    <x v="6"/>
    <x v="0"/>
    <x v="84"/>
    <n v="9"/>
    <x v="2"/>
    <m/>
    <x v="0"/>
  </r>
  <r>
    <s v="DBK-CMP-100101"/>
    <s v="DBK-CUS-500101"/>
    <x v="0"/>
    <x v="3"/>
    <x v="85"/>
    <n v="12"/>
    <x v="1"/>
    <d v="2024-10-04T00:00:00"/>
    <x v="1"/>
  </r>
  <r>
    <s v="DBK-CMP-100102"/>
    <s v="DBK-CUS-500102"/>
    <x v="7"/>
    <x v="4"/>
    <x v="86"/>
    <n v="3"/>
    <x v="1"/>
    <d v="2024-04-11T00:00:00"/>
    <x v="3"/>
  </r>
  <r>
    <s v="DBK-CMP-100103"/>
    <s v="DBK-CUS-500103"/>
    <x v="4"/>
    <x v="4"/>
    <x v="87"/>
    <n v="58"/>
    <x v="1"/>
    <d v="2024-09-08T00:00:00"/>
    <x v="4"/>
  </r>
  <r>
    <s v="DBK-CMP-100104"/>
    <s v="DBK-CUS-500104"/>
    <x v="3"/>
    <x v="0"/>
    <x v="26"/>
    <n v="6"/>
    <x v="1"/>
    <d v="2024-01-31T00:00:00"/>
    <x v="3"/>
  </r>
  <r>
    <s v="DBK-CMP-100105"/>
    <s v="DBK-CUS-500105"/>
    <x v="7"/>
    <x v="0"/>
    <x v="25"/>
    <n v="14"/>
    <x v="0"/>
    <m/>
    <x v="0"/>
  </r>
  <r>
    <s v="DBK-CMP-100106"/>
    <s v="DBK-CUS-500106"/>
    <x v="6"/>
    <x v="1"/>
    <x v="88"/>
    <n v="18"/>
    <x v="1"/>
    <d v="2024-11-02T00:00:00"/>
    <x v="5"/>
  </r>
  <r>
    <s v="DBK-CMP-100107"/>
    <s v="DBK-CUS-500107"/>
    <x v="2"/>
    <x v="4"/>
    <x v="89"/>
    <n v="52"/>
    <x v="1"/>
    <d v="2024-11-27T00:00:00"/>
    <x v="4"/>
  </r>
  <r>
    <s v="DBK-CMP-100108"/>
    <s v="DBK-CUS-500108"/>
    <x v="4"/>
    <x v="1"/>
    <x v="90"/>
    <n v="8"/>
    <x v="1"/>
    <d v="2024-05-04T00:00:00"/>
    <x v="1"/>
  </r>
  <r>
    <s v="DBK-CMP-100109"/>
    <s v="DBK-CUS-500109"/>
    <x v="6"/>
    <x v="0"/>
    <x v="74"/>
    <n v="18"/>
    <x v="2"/>
    <m/>
    <x v="0"/>
  </r>
  <r>
    <s v="DBK-CMP-100110"/>
    <s v="DBK-CUS-500110"/>
    <x v="4"/>
    <x v="4"/>
    <x v="91"/>
    <n v="23"/>
    <x v="1"/>
    <d v="2024-10-24T00:00:00"/>
    <x v="5"/>
  </r>
  <r>
    <s v="DBK-CMP-100111"/>
    <s v="DBK-CUS-500111"/>
    <x v="2"/>
    <x v="4"/>
    <x v="88"/>
    <n v="77"/>
    <x v="1"/>
    <d v="2024-11-05T00:00:00"/>
    <x v="4"/>
  </r>
  <r>
    <s v="DBK-CMP-100112"/>
    <s v="DBK-CUS-500112"/>
    <x v="4"/>
    <x v="1"/>
    <x v="30"/>
    <n v="60"/>
    <x v="1"/>
    <d v="2024-08-15T00:00:00"/>
    <x v="3"/>
  </r>
  <r>
    <s v="DBK-CMP-100113"/>
    <s v="DBK-CUS-500113"/>
    <x v="7"/>
    <x v="4"/>
    <x v="92"/>
    <n v="24"/>
    <x v="1"/>
    <d v="2024-05-31T00:00:00"/>
    <x v="5"/>
  </r>
  <r>
    <s v="DBK-CMP-100114"/>
    <s v="DBK-CUS-500114"/>
    <x v="0"/>
    <x v="0"/>
    <x v="93"/>
    <n v="33"/>
    <x v="2"/>
    <m/>
    <x v="0"/>
  </r>
  <r>
    <s v="DBK-CMP-100115"/>
    <s v="DBK-CUS-500115"/>
    <x v="4"/>
    <x v="0"/>
    <x v="94"/>
    <n v="64"/>
    <x v="1"/>
    <d v="2024-07-06T00:00:00"/>
    <x v="4"/>
  </r>
  <r>
    <s v="DBK-CMP-100116"/>
    <s v="DBK-CUS-500116"/>
    <x v="6"/>
    <x v="2"/>
    <x v="95"/>
    <n v="10"/>
    <x v="1"/>
    <d v="2024-04-06T00:00:00"/>
    <x v="1"/>
  </r>
  <r>
    <s v="DBK-CMP-100117"/>
    <s v="DBK-CUS-500117"/>
    <x v="6"/>
    <x v="3"/>
    <x v="82"/>
    <n v="9"/>
    <x v="0"/>
    <m/>
    <x v="0"/>
  </r>
  <r>
    <s v="DBK-CMP-100118"/>
    <s v="DBK-CUS-500118"/>
    <x v="2"/>
    <x v="4"/>
    <x v="96"/>
    <n v="49"/>
    <x v="1"/>
    <d v="2024-07-03T00:00:00"/>
    <x v="4"/>
  </r>
  <r>
    <s v="DBK-CMP-100119"/>
    <s v="DBK-CUS-500119"/>
    <x v="0"/>
    <x v="1"/>
    <x v="97"/>
    <n v="39"/>
    <x v="2"/>
    <m/>
    <x v="0"/>
  </r>
  <r>
    <s v="DBK-CMP-100120"/>
    <s v="DBK-CUS-500120"/>
    <x v="6"/>
    <x v="3"/>
    <x v="98"/>
    <n v="18"/>
    <x v="1"/>
    <d v="2024-08-21T00:00:00"/>
    <x v="5"/>
  </r>
  <r>
    <s v="DBK-CMP-100121"/>
    <s v="DBK-CUS-500121"/>
    <x v="4"/>
    <x v="4"/>
    <x v="99"/>
    <n v="37"/>
    <x v="2"/>
    <m/>
    <x v="0"/>
  </r>
  <r>
    <s v="DBK-CMP-100122"/>
    <s v="DBK-CUS-500122"/>
    <x v="4"/>
    <x v="0"/>
    <x v="100"/>
    <n v="36"/>
    <x v="1"/>
    <d v="2024-10-27T00:00:00"/>
    <x v="2"/>
  </r>
  <r>
    <s v="DBK-CMP-100123"/>
    <s v="DBK-CUS-500123"/>
    <x v="0"/>
    <x v="3"/>
    <x v="70"/>
    <n v="47"/>
    <x v="1"/>
    <d v="2024-12-07T00:00:00"/>
    <x v="2"/>
  </r>
  <r>
    <s v="DBK-CMP-100124"/>
    <s v="DBK-CUS-500124"/>
    <x v="2"/>
    <x v="3"/>
    <x v="101"/>
    <n v="38"/>
    <x v="1"/>
    <d v="2024-12-15T00:00:00"/>
    <x v="2"/>
  </r>
  <r>
    <s v="DBK-CMP-100125"/>
    <s v="DBK-CUS-500125"/>
    <x v="6"/>
    <x v="4"/>
    <x v="102"/>
    <n v="12"/>
    <x v="1"/>
    <d v="2024-07-23T00:00:00"/>
    <x v="1"/>
  </r>
  <r>
    <s v="DBK-CMP-100126"/>
    <s v="DBK-CUS-500126"/>
    <x v="5"/>
    <x v="3"/>
    <x v="63"/>
    <n v="12"/>
    <x v="1"/>
    <d v="2024-02-15T00:00:00"/>
    <x v="1"/>
  </r>
  <r>
    <s v="DBK-CMP-100127"/>
    <s v="DBK-CUS-500127"/>
    <x v="0"/>
    <x v="3"/>
    <x v="103"/>
    <n v="14"/>
    <x v="2"/>
    <m/>
    <x v="0"/>
  </r>
  <r>
    <s v="DBK-CMP-100128"/>
    <s v="DBK-CUS-500128"/>
    <x v="2"/>
    <x v="1"/>
    <x v="41"/>
    <n v="58"/>
    <x v="1"/>
    <d v="2025-01-01T00:00:00"/>
    <x v="4"/>
  </r>
  <r>
    <s v="DBK-CMP-100129"/>
    <s v="DBK-CUS-500129"/>
    <x v="0"/>
    <x v="3"/>
    <x v="104"/>
    <n v="47"/>
    <x v="1"/>
    <d v="2024-03-12T00:00:00"/>
    <x v="2"/>
  </r>
  <r>
    <s v="DBK-CMP-100130"/>
    <s v="DBK-CUS-500130"/>
    <x v="1"/>
    <x v="1"/>
    <x v="105"/>
    <n v="36"/>
    <x v="0"/>
    <m/>
    <x v="0"/>
  </r>
  <r>
    <s v="DBK-CMP-100131"/>
    <s v="DBK-CUS-500131"/>
    <x v="6"/>
    <x v="4"/>
    <x v="71"/>
    <n v="23"/>
    <x v="1"/>
    <d v="2024-10-09T00:00:00"/>
    <x v="5"/>
  </r>
  <r>
    <s v="DBK-CMP-100132"/>
    <s v="DBK-CUS-500132"/>
    <x v="3"/>
    <x v="3"/>
    <x v="106"/>
    <n v="62"/>
    <x v="1"/>
    <d v="2024-04-06T00:00:00"/>
    <x v="3"/>
  </r>
  <r>
    <s v="DBK-CMP-100133"/>
    <s v="DBK-CUS-500133"/>
    <x v="6"/>
    <x v="2"/>
    <x v="107"/>
    <n v="20"/>
    <x v="2"/>
    <m/>
    <x v="0"/>
  </r>
  <r>
    <s v="DBK-CMP-100134"/>
    <s v="DBK-CUS-500134"/>
    <x v="7"/>
    <x v="0"/>
    <x v="108"/>
    <n v="14"/>
    <x v="1"/>
    <d v="2024-07-21T00:00:00"/>
    <x v="5"/>
  </r>
  <r>
    <s v="DBK-CMP-100135"/>
    <s v="DBK-CUS-500135"/>
    <x v="6"/>
    <x v="1"/>
    <x v="109"/>
    <n v="19"/>
    <x v="0"/>
    <m/>
    <x v="0"/>
  </r>
  <r>
    <s v="DBK-CMP-100136"/>
    <s v="DBK-CUS-500136"/>
    <x v="1"/>
    <x v="2"/>
    <x v="110"/>
    <n v="33"/>
    <x v="1"/>
    <d v="2024-09-13T00:00:00"/>
    <x v="2"/>
  </r>
  <r>
    <s v="DBK-CMP-100137"/>
    <s v="DBK-CUS-500137"/>
    <x v="5"/>
    <x v="4"/>
    <x v="39"/>
    <n v="6"/>
    <x v="1"/>
    <d v="2024-05-26T00:00:00"/>
    <x v="3"/>
  </r>
  <r>
    <s v="DBK-CMP-100138"/>
    <s v="DBK-CUS-500138"/>
    <x v="3"/>
    <x v="3"/>
    <x v="111"/>
    <n v="36"/>
    <x v="2"/>
    <m/>
    <x v="0"/>
  </r>
  <r>
    <s v="DBK-CMP-100139"/>
    <s v="DBK-CUS-500139"/>
    <x v="1"/>
    <x v="2"/>
    <x v="112"/>
    <n v="29"/>
    <x v="1"/>
    <d v="2024-07-01T00:00:00"/>
    <x v="3"/>
  </r>
  <r>
    <s v="DBK-CMP-100140"/>
    <s v="DBK-CUS-500140"/>
    <x v="5"/>
    <x v="0"/>
    <x v="113"/>
    <n v="3"/>
    <x v="2"/>
    <m/>
    <x v="0"/>
  </r>
  <r>
    <s v="DBK-CMP-100141"/>
    <s v="DBK-CUS-500141"/>
    <x v="2"/>
    <x v="1"/>
    <x v="114"/>
    <n v="76"/>
    <x v="0"/>
    <m/>
    <x v="0"/>
  </r>
  <r>
    <s v="DBK-CMP-100142"/>
    <s v="DBK-CUS-500142"/>
    <x v="6"/>
    <x v="4"/>
    <x v="28"/>
    <n v="22"/>
    <x v="0"/>
    <m/>
    <x v="0"/>
  </r>
  <r>
    <s v="DBK-CMP-100143"/>
    <s v="DBK-CUS-500143"/>
    <x v="3"/>
    <x v="3"/>
    <x v="20"/>
    <n v="29"/>
    <x v="1"/>
    <d v="2024-03-01T00:00:00"/>
    <x v="2"/>
  </r>
  <r>
    <s v="DBK-CMP-100144"/>
    <s v="DBK-CUS-500144"/>
    <x v="1"/>
    <x v="1"/>
    <x v="38"/>
    <n v="27"/>
    <x v="2"/>
    <m/>
    <x v="0"/>
  </r>
  <r>
    <s v="DBK-CMP-100145"/>
    <s v="DBK-CUS-500145"/>
    <x v="0"/>
    <x v="1"/>
    <x v="115"/>
    <n v="6"/>
    <x v="1"/>
    <d v="2024-08-07T00:00:00"/>
    <x v="3"/>
  </r>
  <r>
    <s v="DBK-CMP-100146"/>
    <s v="DBK-CUS-500146"/>
    <x v="1"/>
    <x v="0"/>
    <x v="45"/>
    <n v="26"/>
    <x v="1"/>
    <d v="2024-12-24T00:00:00"/>
    <x v="2"/>
  </r>
  <r>
    <s v="DBK-CMP-100147"/>
    <s v="DBK-CUS-500147"/>
    <x v="1"/>
    <x v="3"/>
    <x v="116"/>
    <n v="20"/>
    <x v="1"/>
    <d v="2024-10-22T00:00:00"/>
    <x v="5"/>
  </r>
  <r>
    <s v="DBK-CMP-100148"/>
    <s v="DBK-CUS-500148"/>
    <x v="6"/>
    <x v="4"/>
    <x v="57"/>
    <n v="23"/>
    <x v="1"/>
    <d v="2024-12-25T00:00:00"/>
    <x v="5"/>
  </r>
  <r>
    <s v="DBK-CMP-100149"/>
    <s v="DBK-CUS-500149"/>
    <x v="1"/>
    <x v="2"/>
    <x v="116"/>
    <n v="29"/>
    <x v="1"/>
    <d v="2024-10-23T00:00:00"/>
    <x v="2"/>
  </r>
  <r>
    <s v="DBK-CMP-100150"/>
    <s v="DBK-CUS-500150"/>
    <x v="0"/>
    <x v="4"/>
    <x v="117"/>
    <n v="31"/>
    <x v="2"/>
    <m/>
    <x v="0"/>
  </r>
  <r>
    <s v="DBK-CMP-100151"/>
    <s v="DBK-CUS-500151"/>
    <x v="0"/>
    <x v="2"/>
    <x v="118"/>
    <n v="43"/>
    <x v="1"/>
    <d v="2024-09-25T00:00:00"/>
    <x v="2"/>
  </r>
  <r>
    <s v="DBK-CMP-100152"/>
    <s v="DBK-CUS-500152"/>
    <x v="2"/>
    <x v="4"/>
    <x v="69"/>
    <n v="52"/>
    <x v="1"/>
    <d v="2024-11-16T00:00:00"/>
    <x v="4"/>
  </r>
  <r>
    <s v="DBK-CMP-100153"/>
    <s v="DBK-CUS-500153"/>
    <x v="2"/>
    <x v="4"/>
    <x v="119"/>
    <n v="43"/>
    <x v="1"/>
    <d v="2024-07-04T00:00:00"/>
    <x v="3"/>
  </r>
  <r>
    <s v="DBK-CMP-100154"/>
    <s v="DBK-CUS-500154"/>
    <x v="2"/>
    <x v="2"/>
    <x v="83"/>
    <n v="57"/>
    <x v="0"/>
    <m/>
    <x v="0"/>
  </r>
  <r>
    <s v="DBK-CMP-100155"/>
    <s v="DBK-CUS-500155"/>
    <x v="5"/>
    <x v="2"/>
    <x v="120"/>
    <n v="5"/>
    <x v="0"/>
    <m/>
    <x v="0"/>
  </r>
  <r>
    <s v="DBK-CMP-100156"/>
    <s v="DBK-CUS-500156"/>
    <x v="2"/>
    <x v="1"/>
    <x v="121"/>
    <n v="26"/>
    <x v="1"/>
    <d v="2024-10-15T00:00:00"/>
    <x v="2"/>
  </r>
  <r>
    <s v="DBK-CMP-100157"/>
    <s v="DBK-CUS-500157"/>
    <x v="4"/>
    <x v="0"/>
    <x v="122"/>
    <n v="58"/>
    <x v="1"/>
    <d v="2024-06-10T00:00:00"/>
    <x v="3"/>
  </r>
  <r>
    <s v="DBK-CMP-100158"/>
    <s v="DBK-CUS-500158"/>
    <x v="1"/>
    <x v="4"/>
    <x v="55"/>
    <n v="13"/>
    <x v="0"/>
    <m/>
    <x v="0"/>
  </r>
  <r>
    <s v="DBK-CMP-100159"/>
    <s v="DBK-CUS-500159"/>
    <x v="0"/>
    <x v="3"/>
    <x v="123"/>
    <n v="34"/>
    <x v="1"/>
    <d v="2024-06-26T00:00:00"/>
    <x v="2"/>
  </r>
  <r>
    <s v="DBK-CMP-100160"/>
    <s v="DBK-CUS-500160"/>
    <x v="5"/>
    <x v="3"/>
    <x v="118"/>
    <n v="5"/>
    <x v="1"/>
    <d v="2024-09-24T00:00:00"/>
    <x v="3"/>
  </r>
  <r>
    <s v="DBK-CMP-100161"/>
    <s v="DBK-CUS-500161"/>
    <x v="7"/>
    <x v="1"/>
    <x v="124"/>
    <n v="2"/>
    <x v="1"/>
    <d v="2024-10-07T00:00:00"/>
    <x v="3"/>
  </r>
  <r>
    <s v="DBK-CMP-100162"/>
    <s v="DBK-CUS-500162"/>
    <x v="3"/>
    <x v="3"/>
    <x v="125"/>
    <n v="41"/>
    <x v="1"/>
    <d v="2024-07-09T00:00:00"/>
    <x v="2"/>
  </r>
  <r>
    <s v="DBK-CMP-100163"/>
    <s v="DBK-CUS-500163"/>
    <x v="6"/>
    <x v="0"/>
    <x v="126"/>
    <n v="18"/>
    <x v="1"/>
    <d v="2024-01-27T00:00:00"/>
    <x v="5"/>
  </r>
  <r>
    <s v="DBK-CMP-100164"/>
    <s v="DBK-CUS-500164"/>
    <x v="7"/>
    <x v="0"/>
    <x v="127"/>
    <n v="16"/>
    <x v="1"/>
    <d v="2024-02-20T00:00:00"/>
    <x v="5"/>
  </r>
  <r>
    <s v="DBK-CMP-100165"/>
    <s v="DBK-CUS-500165"/>
    <x v="0"/>
    <x v="3"/>
    <x v="128"/>
    <n v="12"/>
    <x v="1"/>
    <d v="2024-02-27T00:00:00"/>
    <x v="1"/>
  </r>
  <r>
    <s v="DBK-CMP-100166"/>
    <s v="DBK-CUS-500166"/>
    <x v="4"/>
    <x v="4"/>
    <x v="59"/>
    <n v="60"/>
    <x v="1"/>
    <d v="2024-04-20T00:00:00"/>
    <x v="4"/>
  </r>
  <r>
    <s v="DBK-CMP-100167"/>
    <s v="DBK-CUS-500167"/>
    <x v="7"/>
    <x v="0"/>
    <x v="129"/>
    <n v="19"/>
    <x v="1"/>
    <d v="2024-03-18T00:00:00"/>
    <x v="5"/>
  </r>
  <r>
    <s v="DBK-CMP-100168"/>
    <s v="DBK-CUS-500168"/>
    <x v="3"/>
    <x v="3"/>
    <x v="130"/>
    <n v="60"/>
    <x v="1"/>
    <d v="2024-12-12T00:00:00"/>
    <x v="4"/>
  </r>
  <r>
    <s v="DBK-CMP-100169"/>
    <s v="DBK-CUS-500169"/>
    <x v="6"/>
    <x v="0"/>
    <x v="131"/>
    <n v="9"/>
    <x v="1"/>
    <d v="2024-06-15T00:00:00"/>
    <x v="1"/>
  </r>
  <r>
    <s v="DBK-CMP-100170"/>
    <s v="DBK-CUS-500170"/>
    <x v="7"/>
    <x v="1"/>
    <x v="132"/>
    <n v="21"/>
    <x v="1"/>
    <d v="2024-11-22T00:00:00"/>
    <x v="5"/>
  </r>
  <r>
    <s v="DBK-CMP-100171"/>
    <s v="DBK-CUS-500171"/>
    <x v="5"/>
    <x v="0"/>
    <x v="133"/>
    <n v="10"/>
    <x v="1"/>
    <d v="2024-09-10T00:00:00"/>
    <x v="1"/>
  </r>
  <r>
    <s v="DBK-CMP-100172"/>
    <s v="DBK-CUS-500172"/>
    <x v="0"/>
    <x v="3"/>
    <x v="57"/>
    <n v="27"/>
    <x v="2"/>
    <m/>
    <x v="0"/>
  </r>
  <r>
    <s v="DBK-CMP-100173"/>
    <s v="DBK-CUS-500173"/>
    <x v="5"/>
    <x v="4"/>
    <x v="134"/>
    <n v="3"/>
    <x v="1"/>
    <d v="2024-11-09T00:00:00"/>
    <x v="3"/>
  </r>
  <r>
    <s v="DBK-CMP-100174"/>
    <s v="DBK-CUS-500174"/>
    <x v="1"/>
    <x v="0"/>
    <x v="135"/>
    <n v="16"/>
    <x v="1"/>
    <d v="2024-01-09T00:00:00"/>
    <x v="5"/>
  </r>
  <r>
    <s v="DBK-CMP-100175"/>
    <s v="DBK-CUS-500175"/>
    <x v="4"/>
    <x v="0"/>
    <x v="136"/>
    <n v="21"/>
    <x v="1"/>
    <d v="2024-01-29T00:00:00"/>
    <x v="5"/>
  </r>
  <r>
    <s v="DBK-CMP-100176"/>
    <s v="DBK-CUS-500176"/>
    <x v="4"/>
    <x v="2"/>
    <x v="137"/>
    <n v="6"/>
    <x v="0"/>
    <m/>
    <x v="0"/>
  </r>
  <r>
    <s v="DBK-CMP-100177"/>
    <s v="DBK-CUS-500177"/>
    <x v="3"/>
    <x v="4"/>
    <x v="138"/>
    <n v="51"/>
    <x v="1"/>
    <d v="2024-03-08T00:00:00"/>
    <x v="4"/>
  </r>
  <r>
    <s v="DBK-CMP-100178"/>
    <s v="DBK-CUS-500178"/>
    <x v="5"/>
    <x v="3"/>
    <x v="0"/>
    <n v="6"/>
    <x v="1"/>
    <d v="2024-10-20T00:00:00"/>
    <x v="3"/>
  </r>
  <r>
    <s v="DBK-CMP-100179"/>
    <s v="DBK-CUS-500179"/>
    <x v="3"/>
    <x v="2"/>
    <x v="23"/>
    <n v="17"/>
    <x v="1"/>
    <d v="2024-04-20T00:00:00"/>
    <x v="5"/>
  </r>
  <r>
    <s v="DBK-CMP-100180"/>
    <s v="DBK-CUS-500180"/>
    <x v="0"/>
    <x v="2"/>
    <x v="139"/>
    <n v="39"/>
    <x v="1"/>
    <d v="2024-01-15T00:00:00"/>
    <x v="2"/>
  </r>
  <r>
    <s v="DBK-CMP-100181"/>
    <s v="DBK-CUS-500181"/>
    <x v="3"/>
    <x v="2"/>
    <x v="24"/>
    <n v="67"/>
    <x v="1"/>
    <d v="2024-09-18T00:00:00"/>
    <x v="4"/>
  </r>
  <r>
    <s v="DBK-CMP-100182"/>
    <s v="DBK-CUS-500182"/>
    <x v="4"/>
    <x v="4"/>
    <x v="67"/>
    <n v="27"/>
    <x v="1"/>
    <d v="2024-01-18T00:00:00"/>
    <x v="2"/>
  </r>
  <r>
    <s v="DBK-CMP-100183"/>
    <s v="DBK-CUS-500183"/>
    <x v="4"/>
    <x v="2"/>
    <x v="120"/>
    <n v="39"/>
    <x v="1"/>
    <d v="2024-08-15T00:00:00"/>
    <x v="2"/>
  </r>
  <r>
    <s v="DBK-CMP-100184"/>
    <s v="DBK-CUS-500184"/>
    <x v="6"/>
    <x v="0"/>
    <x v="140"/>
    <n v="15"/>
    <x v="1"/>
    <d v="2024-05-20T00:00:00"/>
    <x v="3"/>
  </r>
  <r>
    <s v="DBK-CMP-100185"/>
    <s v="DBK-CUS-500185"/>
    <x v="5"/>
    <x v="1"/>
    <x v="56"/>
    <n v="7"/>
    <x v="0"/>
    <m/>
    <x v="0"/>
  </r>
  <r>
    <s v="DBK-CMP-100186"/>
    <s v="DBK-CUS-500186"/>
    <x v="4"/>
    <x v="3"/>
    <x v="141"/>
    <n v="16"/>
    <x v="0"/>
    <m/>
    <x v="0"/>
  </r>
  <r>
    <s v="DBK-CMP-100187"/>
    <s v="DBK-CUS-500187"/>
    <x v="5"/>
    <x v="3"/>
    <x v="109"/>
    <n v="4"/>
    <x v="0"/>
    <m/>
    <x v="0"/>
  </r>
  <r>
    <s v="DBK-CMP-100188"/>
    <s v="DBK-CUS-500188"/>
    <x v="6"/>
    <x v="4"/>
    <x v="25"/>
    <n v="17"/>
    <x v="1"/>
    <d v="2024-01-21T00:00:00"/>
    <x v="5"/>
  </r>
  <r>
    <s v="DBK-CMP-100189"/>
    <s v="DBK-CUS-500189"/>
    <x v="0"/>
    <x v="1"/>
    <x v="98"/>
    <n v="36"/>
    <x v="2"/>
    <m/>
    <x v="0"/>
  </r>
  <r>
    <s v="DBK-CMP-100190"/>
    <s v="DBK-CUS-500190"/>
    <x v="2"/>
    <x v="0"/>
    <x v="96"/>
    <n v="66"/>
    <x v="1"/>
    <d v="2024-07-03T00:00:00"/>
    <x v="4"/>
  </r>
  <r>
    <s v="DBK-CMP-100191"/>
    <s v="DBK-CUS-500191"/>
    <x v="5"/>
    <x v="4"/>
    <x v="93"/>
    <n v="8"/>
    <x v="1"/>
    <d v="2024-09-25T00:00:00"/>
    <x v="1"/>
  </r>
  <r>
    <s v="DBK-CMP-100192"/>
    <s v="DBK-CUS-500192"/>
    <x v="2"/>
    <x v="1"/>
    <x v="142"/>
    <n v="66"/>
    <x v="1"/>
    <d v="2024-08-25T00:00:00"/>
    <x v="3"/>
  </r>
  <r>
    <s v="DBK-CMP-100193"/>
    <s v="DBK-CUS-500193"/>
    <x v="0"/>
    <x v="1"/>
    <x v="143"/>
    <n v="32"/>
    <x v="1"/>
    <d v="2024-04-23T00:00:00"/>
    <x v="2"/>
  </r>
  <r>
    <s v="DBK-CMP-100194"/>
    <s v="DBK-CUS-500194"/>
    <x v="3"/>
    <x v="4"/>
    <x v="90"/>
    <n v="23"/>
    <x v="0"/>
    <m/>
    <x v="0"/>
  </r>
  <r>
    <s v="DBK-CMP-100195"/>
    <s v="DBK-CUS-500195"/>
    <x v="4"/>
    <x v="2"/>
    <x v="55"/>
    <n v="8"/>
    <x v="1"/>
    <d v="2024-12-31T00:00:00"/>
    <x v="1"/>
  </r>
  <r>
    <s v="DBK-CMP-100196"/>
    <s v="DBK-CUS-500196"/>
    <x v="3"/>
    <x v="4"/>
    <x v="73"/>
    <n v="9"/>
    <x v="0"/>
    <m/>
    <x v="0"/>
  </r>
  <r>
    <s v="DBK-CMP-100197"/>
    <s v="DBK-CUS-500197"/>
    <x v="3"/>
    <x v="3"/>
    <x v="144"/>
    <n v="63"/>
    <x v="0"/>
    <m/>
    <x v="0"/>
  </r>
  <r>
    <s v="DBK-CMP-100198"/>
    <s v="DBK-CUS-500198"/>
    <x v="4"/>
    <x v="3"/>
    <x v="119"/>
    <n v="42"/>
    <x v="1"/>
    <d v="2024-07-04T00:00:00"/>
    <x v="2"/>
  </r>
  <r>
    <s v="DBK-CMP-100199"/>
    <s v="DBK-CUS-500199"/>
    <x v="2"/>
    <x v="2"/>
    <x v="120"/>
    <n v="77"/>
    <x v="1"/>
    <d v="2024-08-17T00:00:00"/>
    <x v="3"/>
  </r>
  <r>
    <s v="DBK-CMP-100200"/>
    <s v="DBK-CUS-500200"/>
    <x v="3"/>
    <x v="0"/>
    <x v="145"/>
    <n v="22"/>
    <x v="1"/>
    <d v="2024-04-28T00:00:00"/>
    <x v="3"/>
  </r>
  <r>
    <s v="DBK-CMP-100201"/>
    <s v="DBK-CUS-500201"/>
    <x v="4"/>
    <x v="1"/>
    <x v="146"/>
    <n v="38"/>
    <x v="1"/>
    <d v="2024-08-20T00:00:00"/>
    <x v="2"/>
  </r>
  <r>
    <s v="DBK-CMP-100202"/>
    <s v="DBK-CUS-500202"/>
    <x v="4"/>
    <x v="3"/>
    <x v="129"/>
    <n v="33"/>
    <x v="2"/>
    <m/>
    <x v="0"/>
  </r>
  <r>
    <s v="DBK-CMP-100203"/>
    <s v="DBK-CUS-500203"/>
    <x v="5"/>
    <x v="1"/>
    <x v="147"/>
    <n v="7"/>
    <x v="0"/>
    <m/>
    <x v="0"/>
  </r>
  <r>
    <s v="DBK-CMP-100204"/>
    <s v="DBK-CUS-500204"/>
    <x v="0"/>
    <x v="4"/>
    <x v="148"/>
    <n v="26"/>
    <x v="1"/>
    <d v="2024-03-08T00:00:00"/>
    <x v="2"/>
  </r>
  <r>
    <s v="DBK-CMP-100205"/>
    <s v="DBK-CUS-500205"/>
    <x v="1"/>
    <x v="1"/>
    <x v="39"/>
    <n v="24"/>
    <x v="1"/>
    <d v="2024-05-27T00:00:00"/>
    <x v="5"/>
  </r>
  <r>
    <s v="DBK-CMP-100206"/>
    <s v="DBK-CUS-500206"/>
    <x v="1"/>
    <x v="4"/>
    <x v="50"/>
    <n v="33"/>
    <x v="0"/>
    <m/>
    <x v="0"/>
  </r>
  <r>
    <s v="DBK-CMP-100207"/>
    <s v="DBK-CUS-500207"/>
    <x v="1"/>
    <x v="2"/>
    <x v="129"/>
    <n v="8"/>
    <x v="1"/>
    <d v="2024-03-18T00:00:00"/>
    <x v="1"/>
  </r>
  <r>
    <s v="DBK-CMP-100208"/>
    <s v="DBK-CUS-500208"/>
    <x v="7"/>
    <x v="2"/>
    <x v="149"/>
    <n v="22"/>
    <x v="0"/>
    <m/>
    <x v="0"/>
  </r>
  <r>
    <s v="DBK-CMP-100209"/>
    <s v="DBK-CUS-500209"/>
    <x v="4"/>
    <x v="3"/>
    <x v="18"/>
    <n v="34"/>
    <x v="0"/>
    <m/>
    <x v="0"/>
  </r>
  <r>
    <s v="DBK-CMP-100210"/>
    <s v="DBK-CUS-500210"/>
    <x v="5"/>
    <x v="1"/>
    <x v="150"/>
    <n v="11"/>
    <x v="2"/>
    <m/>
    <x v="0"/>
  </r>
  <r>
    <s v="DBK-CMP-100211"/>
    <s v="DBK-CUS-500211"/>
    <x v="6"/>
    <x v="2"/>
    <x v="151"/>
    <n v="21"/>
    <x v="1"/>
    <d v="2024-02-26T00:00:00"/>
    <x v="5"/>
  </r>
  <r>
    <s v="DBK-CMP-100212"/>
    <s v="DBK-CUS-500212"/>
    <x v="7"/>
    <x v="3"/>
    <x v="152"/>
    <n v="12"/>
    <x v="0"/>
    <m/>
    <x v="0"/>
  </r>
  <r>
    <s v="DBK-CMP-100213"/>
    <s v="DBK-CUS-500213"/>
    <x v="1"/>
    <x v="0"/>
    <x v="7"/>
    <n v="12"/>
    <x v="1"/>
    <d v="2024-11-26T00:00:00"/>
    <x v="1"/>
  </r>
  <r>
    <s v="DBK-CMP-100214"/>
    <s v="DBK-CUS-500214"/>
    <x v="6"/>
    <x v="4"/>
    <x v="153"/>
    <n v="18"/>
    <x v="1"/>
    <d v="2024-05-27T00:00:00"/>
    <x v="3"/>
  </r>
  <r>
    <s v="DBK-CMP-100215"/>
    <s v="DBK-CUS-500215"/>
    <x v="5"/>
    <x v="4"/>
    <x v="154"/>
    <n v="7"/>
    <x v="1"/>
    <d v="2024-09-19T00:00:00"/>
    <x v="1"/>
  </r>
  <r>
    <s v="DBK-CMP-100216"/>
    <s v="DBK-CUS-500216"/>
    <x v="6"/>
    <x v="2"/>
    <x v="45"/>
    <n v="12"/>
    <x v="1"/>
    <d v="2024-12-23T00:00:00"/>
    <x v="1"/>
  </r>
  <r>
    <s v="DBK-CMP-100217"/>
    <s v="DBK-CUS-500217"/>
    <x v="3"/>
    <x v="2"/>
    <x v="155"/>
    <n v="23"/>
    <x v="1"/>
    <d v="2024-12-02T00:00:00"/>
    <x v="5"/>
  </r>
  <r>
    <s v="DBK-CMP-100218"/>
    <s v="DBK-CUS-500218"/>
    <x v="4"/>
    <x v="2"/>
    <x v="156"/>
    <n v="32"/>
    <x v="1"/>
    <d v="2024-07-13T00:00:00"/>
    <x v="2"/>
  </r>
  <r>
    <s v="DBK-CMP-100219"/>
    <s v="DBK-CUS-500219"/>
    <x v="4"/>
    <x v="4"/>
    <x v="71"/>
    <n v="21"/>
    <x v="0"/>
    <m/>
    <x v="0"/>
  </r>
  <r>
    <s v="DBK-CMP-100220"/>
    <s v="DBK-CUS-500220"/>
    <x v="3"/>
    <x v="3"/>
    <x v="157"/>
    <n v="30"/>
    <x v="0"/>
    <m/>
    <x v="0"/>
  </r>
  <r>
    <s v="DBK-CMP-100221"/>
    <s v="DBK-CUS-500221"/>
    <x v="5"/>
    <x v="1"/>
    <x v="158"/>
    <n v="7"/>
    <x v="1"/>
    <d v="2024-07-05T00:00:00"/>
    <x v="1"/>
  </r>
  <r>
    <s v="DBK-CMP-100222"/>
    <s v="DBK-CUS-500222"/>
    <x v="0"/>
    <x v="0"/>
    <x v="6"/>
    <n v="27"/>
    <x v="0"/>
    <m/>
    <x v="0"/>
  </r>
  <r>
    <s v="DBK-CMP-100223"/>
    <s v="DBK-CUS-500223"/>
    <x v="0"/>
    <x v="2"/>
    <x v="159"/>
    <n v="24"/>
    <x v="0"/>
    <m/>
    <x v="0"/>
  </r>
  <r>
    <s v="DBK-CMP-100224"/>
    <s v="DBK-CUS-500224"/>
    <x v="0"/>
    <x v="2"/>
    <x v="142"/>
    <n v="23"/>
    <x v="1"/>
    <d v="2024-08-23T00:00:00"/>
    <x v="5"/>
  </r>
  <r>
    <s v="DBK-CMP-100225"/>
    <s v="DBK-CUS-500225"/>
    <x v="3"/>
    <x v="3"/>
    <x v="160"/>
    <n v="67"/>
    <x v="1"/>
    <d v="2024-03-17T00:00:00"/>
    <x v="4"/>
  </r>
  <r>
    <s v="DBK-CMP-100226"/>
    <s v="DBK-CUS-500226"/>
    <x v="7"/>
    <x v="1"/>
    <x v="143"/>
    <n v="3"/>
    <x v="0"/>
    <m/>
    <x v="0"/>
  </r>
  <r>
    <s v="DBK-CMP-100227"/>
    <s v="DBK-CUS-500227"/>
    <x v="5"/>
    <x v="4"/>
    <x v="161"/>
    <n v="6"/>
    <x v="0"/>
    <m/>
    <x v="0"/>
  </r>
  <r>
    <s v="DBK-CMP-100228"/>
    <s v="DBK-CUS-500228"/>
    <x v="3"/>
    <x v="4"/>
    <x v="100"/>
    <n v="20"/>
    <x v="0"/>
    <m/>
    <x v="0"/>
  </r>
  <r>
    <s v="DBK-CMP-100229"/>
    <s v="DBK-CUS-500229"/>
    <x v="3"/>
    <x v="1"/>
    <x v="162"/>
    <n v="31"/>
    <x v="1"/>
    <d v="2024-11-19T00:00:00"/>
    <x v="2"/>
  </r>
  <r>
    <s v="DBK-CMP-100230"/>
    <s v="DBK-CUS-500230"/>
    <x v="2"/>
    <x v="4"/>
    <x v="163"/>
    <n v="48"/>
    <x v="2"/>
    <m/>
    <x v="0"/>
  </r>
  <r>
    <s v="DBK-CMP-100231"/>
    <s v="DBK-CUS-500231"/>
    <x v="0"/>
    <x v="4"/>
    <x v="44"/>
    <n v="10"/>
    <x v="2"/>
    <m/>
    <x v="0"/>
  </r>
  <r>
    <s v="DBK-CMP-100232"/>
    <s v="DBK-CUS-500232"/>
    <x v="2"/>
    <x v="0"/>
    <x v="164"/>
    <n v="95"/>
    <x v="1"/>
    <d v="2024-02-12T00:00:00"/>
    <x v="4"/>
  </r>
  <r>
    <s v="DBK-CMP-100233"/>
    <s v="DBK-CUS-500233"/>
    <x v="0"/>
    <x v="2"/>
    <x v="30"/>
    <n v="48"/>
    <x v="1"/>
    <d v="2024-08-15T00:00:00"/>
    <x v="3"/>
  </r>
  <r>
    <s v="DBK-CMP-100234"/>
    <s v="DBK-CUS-500234"/>
    <x v="0"/>
    <x v="0"/>
    <x v="165"/>
    <n v="43"/>
    <x v="1"/>
    <d v="2024-10-07T00:00:00"/>
    <x v="3"/>
  </r>
  <r>
    <s v="DBK-CMP-100235"/>
    <s v="DBK-CUS-500235"/>
    <x v="3"/>
    <x v="4"/>
    <x v="138"/>
    <n v="28"/>
    <x v="0"/>
    <m/>
    <x v="0"/>
  </r>
  <r>
    <s v="DBK-CMP-100236"/>
    <s v="DBK-CUS-500236"/>
    <x v="2"/>
    <x v="3"/>
    <x v="166"/>
    <n v="79"/>
    <x v="1"/>
    <d v="2024-11-26T00:00:00"/>
    <x v="4"/>
  </r>
  <r>
    <s v="DBK-CMP-100237"/>
    <s v="DBK-CUS-500237"/>
    <x v="5"/>
    <x v="2"/>
    <x v="167"/>
    <n v="2"/>
    <x v="2"/>
    <m/>
    <x v="0"/>
  </r>
  <r>
    <s v="DBK-CMP-100238"/>
    <s v="DBK-CUS-500238"/>
    <x v="0"/>
    <x v="1"/>
    <x v="168"/>
    <n v="34"/>
    <x v="1"/>
    <d v="2024-08-10T00:00:00"/>
    <x v="2"/>
  </r>
  <r>
    <s v="DBK-CMP-100239"/>
    <s v="DBK-CUS-500239"/>
    <x v="3"/>
    <x v="3"/>
    <x v="169"/>
    <n v="30"/>
    <x v="1"/>
    <d v="2024-08-23T00:00:00"/>
    <x v="2"/>
  </r>
  <r>
    <s v="DBK-CMP-100240"/>
    <s v="DBK-CUS-500240"/>
    <x v="3"/>
    <x v="1"/>
    <x v="170"/>
    <n v="62"/>
    <x v="2"/>
    <m/>
    <x v="0"/>
  </r>
  <r>
    <s v="DBK-CMP-100241"/>
    <s v="DBK-CUS-500241"/>
    <x v="1"/>
    <x v="2"/>
    <x v="171"/>
    <n v="20"/>
    <x v="1"/>
    <d v="2024-03-10T00:00:00"/>
    <x v="5"/>
  </r>
  <r>
    <s v="DBK-CMP-100242"/>
    <s v="DBK-CUS-500242"/>
    <x v="0"/>
    <x v="2"/>
    <x v="129"/>
    <n v="27"/>
    <x v="2"/>
    <m/>
    <x v="0"/>
  </r>
  <r>
    <s v="DBK-CMP-100243"/>
    <s v="DBK-CUS-500243"/>
    <x v="6"/>
    <x v="4"/>
    <x v="133"/>
    <n v="7"/>
    <x v="1"/>
    <d v="2024-09-10T00:00:00"/>
    <x v="1"/>
  </r>
  <r>
    <s v="DBK-CMP-100244"/>
    <s v="DBK-CUS-500244"/>
    <x v="1"/>
    <x v="0"/>
    <x v="19"/>
    <n v="10"/>
    <x v="1"/>
    <d v="2024-06-17T00:00:00"/>
    <x v="1"/>
  </r>
  <r>
    <s v="DBK-CMP-100245"/>
    <s v="DBK-CUS-500245"/>
    <x v="5"/>
    <x v="0"/>
    <x v="172"/>
    <n v="6"/>
    <x v="1"/>
    <d v="2024-11-16T00:00:00"/>
    <x v="3"/>
  </r>
  <r>
    <s v="DBK-CMP-100246"/>
    <s v="DBK-CUS-500246"/>
    <x v="3"/>
    <x v="0"/>
    <x v="173"/>
    <n v="17"/>
    <x v="1"/>
    <d v="2024-10-02T00:00:00"/>
    <x v="5"/>
  </r>
  <r>
    <s v="DBK-CMP-100247"/>
    <s v="DBK-CUS-500247"/>
    <x v="2"/>
    <x v="2"/>
    <x v="174"/>
    <n v="93"/>
    <x v="1"/>
    <d v="2024-10-20T00:00:00"/>
    <x v="4"/>
  </r>
  <r>
    <s v="DBK-CMP-100248"/>
    <s v="DBK-CUS-500248"/>
    <x v="4"/>
    <x v="1"/>
    <x v="141"/>
    <n v="71"/>
    <x v="1"/>
    <d v="2024-08-08T00:00:00"/>
    <x v="3"/>
  </r>
  <r>
    <s v="DBK-CMP-100249"/>
    <s v="DBK-CUS-500249"/>
    <x v="6"/>
    <x v="2"/>
    <x v="6"/>
    <n v="21"/>
    <x v="1"/>
    <d v="2024-06-27T00:00:00"/>
    <x v="3"/>
  </r>
  <r>
    <s v="DBK-CMP-100250"/>
    <s v="DBK-CUS-500250"/>
    <x v="6"/>
    <x v="1"/>
    <x v="175"/>
    <n v="3"/>
    <x v="1"/>
    <d v="2024-02-23T00:00:00"/>
    <x v="3"/>
  </r>
  <r>
    <s v="DBK-CMP-100251"/>
    <s v="DBK-CUS-500251"/>
    <x v="2"/>
    <x v="3"/>
    <x v="173"/>
    <n v="56"/>
    <x v="1"/>
    <d v="2024-10-04T00:00:00"/>
    <x v="4"/>
  </r>
  <r>
    <s v="DBK-CMP-100252"/>
    <s v="DBK-CUS-500252"/>
    <x v="0"/>
    <x v="2"/>
    <x v="94"/>
    <n v="26"/>
    <x v="1"/>
    <d v="2024-07-05T00:00:00"/>
    <x v="2"/>
  </r>
  <r>
    <s v="DBK-CMP-100253"/>
    <s v="DBK-CUS-500253"/>
    <x v="1"/>
    <x v="4"/>
    <x v="59"/>
    <n v="8"/>
    <x v="0"/>
    <m/>
    <x v="0"/>
  </r>
  <r>
    <s v="DBK-CMP-100254"/>
    <s v="DBK-CUS-500254"/>
    <x v="0"/>
    <x v="0"/>
    <x v="176"/>
    <n v="10"/>
    <x v="2"/>
    <m/>
    <x v="0"/>
  </r>
  <r>
    <s v="DBK-CMP-100255"/>
    <s v="DBK-CUS-500255"/>
    <x v="0"/>
    <x v="2"/>
    <x v="177"/>
    <n v="16"/>
    <x v="1"/>
    <d v="2024-03-21T00:00:00"/>
    <x v="5"/>
  </r>
  <r>
    <s v="DBK-CMP-100256"/>
    <s v="DBK-CUS-500256"/>
    <x v="6"/>
    <x v="1"/>
    <x v="178"/>
    <n v="15"/>
    <x v="1"/>
    <d v="2024-02-18T00:00:00"/>
    <x v="5"/>
  </r>
  <r>
    <s v="DBK-CMP-100257"/>
    <s v="DBK-CUS-500257"/>
    <x v="1"/>
    <x v="3"/>
    <x v="56"/>
    <n v="34"/>
    <x v="1"/>
    <d v="2024-07-15T00:00:00"/>
    <x v="2"/>
  </r>
  <r>
    <s v="DBK-CMP-100258"/>
    <s v="DBK-CUS-500258"/>
    <x v="3"/>
    <x v="1"/>
    <x v="179"/>
    <n v="30"/>
    <x v="2"/>
    <m/>
    <x v="0"/>
  </r>
  <r>
    <s v="DBK-CMP-100259"/>
    <s v="DBK-CUS-500259"/>
    <x v="1"/>
    <x v="2"/>
    <x v="180"/>
    <n v="10"/>
    <x v="1"/>
    <d v="2024-08-17T00:00:00"/>
    <x v="1"/>
  </r>
  <r>
    <s v="DBK-CMP-100260"/>
    <s v="DBK-CUS-500260"/>
    <x v="3"/>
    <x v="1"/>
    <x v="181"/>
    <n v="20"/>
    <x v="1"/>
    <d v="2024-09-23T00:00:00"/>
    <x v="5"/>
  </r>
  <r>
    <s v="DBK-CMP-100261"/>
    <s v="DBK-CUS-500261"/>
    <x v="1"/>
    <x v="2"/>
    <x v="182"/>
    <n v="27"/>
    <x v="1"/>
    <d v="2024-10-13T00:00:00"/>
    <x v="2"/>
  </r>
  <r>
    <s v="DBK-CMP-100262"/>
    <s v="DBK-CUS-500262"/>
    <x v="1"/>
    <x v="4"/>
    <x v="183"/>
    <n v="12"/>
    <x v="1"/>
    <d v="2024-01-26T00:00:00"/>
    <x v="1"/>
  </r>
  <r>
    <s v="DBK-CMP-100263"/>
    <s v="DBK-CUS-500263"/>
    <x v="4"/>
    <x v="0"/>
    <x v="131"/>
    <n v="51"/>
    <x v="0"/>
    <m/>
    <x v="0"/>
  </r>
  <r>
    <s v="DBK-CMP-100264"/>
    <s v="DBK-CUS-500264"/>
    <x v="1"/>
    <x v="3"/>
    <x v="56"/>
    <n v="5"/>
    <x v="0"/>
    <m/>
    <x v="0"/>
  </r>
  <r>
    <s v="DBK-CMP-100265"/>
    <s v="DBK-CUS-500265"/>
    <x v="5"/>
    <x v="3"/>
    <x v="184"/>
    <n v="10"/>
    <x v="0"/>
    <m/>
    <x v="0"/>
  </r>
  <r>
    <s v="DBK-CMP-100266"/>
    <s v="DBK-CUS-500266"/>
    <x v="6"/>
    <x v="1"/>
    <x v="156"/>
    <n v="18"/>
    <x v="1"/>
    <d v="2024-07-12T00:00:00"/>
    <x v="5"/>
  </r>
  <r>
    <s v="DBK-CMP-100267"/>
    <s v="DBK-CUS-500267"/>
    <x v="5"/>
    <x v="1"/>
    <x v="185"/>
    <n v="12"/>
    <x v="2"/>
    <m/>
    <x v="0"/>
  </r>
  <r>
    <s v="DBK-CMP-100268"/>
    <s v="DBK-CUS-500268"/>
    <x v="2"/>
    <x v="4"/>
    <x v="186"/>
    <n v="58"/>
    <x v="0"/>
    <m/>
    <x v="0"/>
  </r>
  <r>
    <s v="DBK-CMP-100269"/>
    <s v="DBK-CUS-500269"/>
    <x v="6"/>
    <x v="3"/>
    <x v="187"/>
    <n v="10"/>
    <x v="1"/>
    <d v="2024-01-08T00:00:00"/>
    <x v="1"/>
  </r>
  <r>
    <s v="DBK-CMP-100270"/>
    <s v="DBK-CUS-500270"/>
    <x v="1"/>
    <x v="3"/>
    <x v="85"/>
    <n v="12"/>
    <x v="1"/>
    <d v="2024-10-04T00:00:00"/>
    <x v="1"/>
  </r>
  <r>
    <s v="DBK-CMP-100271"/>
    <s v="DBK-CUS-500271"/>
    <x v="6"/>
    <x v="1"/>
    <x v="56"/>
    <n v="21"/>
    <x v="1"/>
    <d v="2024-07-14T00:00:00"/>
    <x v="3"/>
  </r>
  <r>
    <s v="DBK-CMP-100272"/>
    <s v="DBK-CUS-500272"/>
    <x v="7"/>
    <x v="4"/>
    <x v="57"/>
    <n v="13"/>
    <x v="1"/>
    <d v="2024-12-25T00:00:00"/>
    <x v="5"/>
  </r>
  <r>
    <s v="DBK-CMP-100273"/>
    <s v="DBK-CUS-500273"/>
    <x v="7"/>
    <x v="4"/>
    <x v="187"/>
    <n v="15"/>
    <x v="1"/>
    <d v="2024-01-08T00:00:00"/>
    <x v="5"/>
  </r>
  <r>
    <s v="DBK-CMP-100274"/>
    <s v="DBK-CUS-500274"/>
    <x v="0"/>
    <x v="0"/>
    <x v="188"/>
    <n v="9"/>
    <x v="1"/>
    <d v="2024-05-31T00:00:00"/>
    <x v="1"/>
  </r>
  <r>
    <s v="DBK-CMP-100275"/>
    <s v="DBK-CUS-500275"/>
    <x v="4"/>
    <x v="3"/>
    <x v="110"/>
    <n v="26"/>
    <x v="1"/>
    <d v="2024-09-13T00:00:00"/>
    <x v="2"/>
  </r>
  <r>
    <s v="DBK-CMP-100276"/>
    <s v="DBK-CUS-500276"/>
    <x v="7"/>
    <x v="0"/>
    <x v="189"/>
    <n v="14"/>
    <x v="2"/>
    <m/>
    <x v="0"/>
  </r>
  <r>
    <s v="DBK-CMP-100277"/>
    <s v="DBK-CUS-500277"/>
    <x v="1"/>
    <x v="2"/>
    <x v="190"/>
    <n v="13"/>
    <x v="0"/>
    <m/>
    <x v="0"/>
  </r>
  <r>
    <s v="DBK-CMP-100278"/>
    <s v="DBK-CUS-500278"/>
    <x v="4"/>
    <x v="2"/>
    <x v="191"/>
    <n v="20"/>
    <x v="1"/>
    <d v="2024-05-06T00:00:00"/>
    <x v="5"/>
  </r>
  <r>
    <s v="DBK-CMP-100279"/>
    <s v="DBK-CUS-500279"/>
    <x v="0"/>
    <x v="2"/>
    <x v="192"/>
    <n v="44"/>
    <x v="0"/>
    <m/>
    <x v="0"/>
  </r>
  <r>
    <s v="DBK-CMP-100280"/>
    <s v="DBK-CUS-500280"/>
    <x v="5"/>
    <x v="0"/>
    <x v="172"/>
    <n v="11"/>
    <x v="1"/>
    <d v="2024-11-16T00:00:00"/>
    <x v="1"/>
  </r>
  <r>
    <s v="DBK-CMP-100281"/>
    <s v="DBK-CUS-500281"/>
    <x v="7"/>
    <x v="0"/>
    <x v="193"/>
    <n v="15"/>
    <x v="1"/>
    <d v="2024-02-03T00:00:00"/>
    <x v="5"/>
  </r>
  <r>
    <s v="DBK-CMP-100282"/>
    <s v="DBK-CUS-500282"/>
    <x v="2"/>
    <x v="4"/>
    <x v="82"/>
    <n v="82"/>
    <x v="1"/>
    <d v="2024-10-01T00:00:00"/>
    <x v="4"/>
  </r>
  <r>
    <s v="DBK-CMP-100283"/>
    <s v="DBK-CUS-500283"/>
    <x v="4"/>
    <x v="0"/>
    <x v="194"/>
    <n v="67"/>
    <x v="1"/>
    <d v="2024-05-09T00:00:00"/>
    <x v="4"/>
  </r>
  <r>
    <s v="DBK-CMP-100284"/>
    <s v="DBK-CUS-500284"/>
    <x v="1"/>
    <x v="3"/>
    <x v="27"/>
    <n v="30"/>
    <x v="1"/>
    <d v="2024-01-08T00:00:00"/>
    <x v="2"/>
  </r>
  <r>
    <s v="DBK-CMP-100285"/>
    <s v="DBK-CUS-500285"/>
    <x v="5"/>
    <x v="2"/>
    <x v="21"/>
    <n v="1"/>
    <x v="1"/>
    <d v="2024-02-12T00:00:00"/>
    <x v="3"/>
  </r>
  <r>
    <s v="DBK-CMP-100286"/>
    <s v="DBK-CUS-500286"/>
    <x v="7"/>
    <x v="4"/>
    <x v="195"/>
    <n v="23"/>
    <x v="0"/>
    <m/>
    <x v="0"/>
  </r>
  <r>
    <s v="DBK-CMP-100287"/>
    <s v="DBK-CUS-500287"/>
    <x v="2"/>
    <x v="3"/>
    <x v="196"/>
    <n v="52"/>
    <x v="1"/>
    <d v="2024-08-06T00:00:00"/>
    <x v="4"/>
  </r>
  <r>
    <s v="DBK-CMP-100288"/>
    <s v="DBK-CUS-500288"/>
    <x v="2"/>
    <x v="1"/>
    <x v="197"/>
    <n v="65"/>
    <x v="1"/>
    <d v="2024-06-30T00:00:00"/>
    <x v="4"/>
  </r>
  <r>
    <s v="DBK-CMP-100289"/>
    <s v="DBK-CUS-500289"/>
    <x v="3"/>
    <x v="1"/>
    <x v="194"/>
    <n v="48"/>
    <x v="1"/>
    <d v="2024-05-09T00:00:00"/>
    <x v="2"/>
  </r>
  <r>
    <s v="DBK-CMP-100290"/>
    <s v="DBK-CUS-500290"/>
    <x v="2"/>
    <x v="0"/>
    <x v="141"/>
    <n v="69"/>
    <x v="1"/>
    <d v="2024-08-08T00:00:00"/>
    <x v="4"/>
  </r>
  <r>
    <s v="DBK-CMP-100291"/>
    <s v="DBK-CUS-500291"/>
    <x v="2"/>
    <x v="0"/>
    <x v="130"/>
    <n v="37"/>
    <x v="0"/>
    <m/>
    <x v="0"/>
  </r>
  <r>
    <s v="DBK-CMP-100292"/>
    <s v="DBK-CUS-500292"/>
    <x v="5"/>
    <x v="1"/>
    <x v="19"/>
    <n v="10"/>
    <x v="1"/>
    <d v="2024-06-17T00:00:00"/>
    <x v="1"/>
  </r>
  <r>
    <s v="DBK-CMP-100293"/>
    <s v="DBK-CUS-500293"/>
    <x v="0"/>
    <x v="0"/>
    <x v="92"/>
    <n v="11"/>
    <x v="1"/>
    <d v="2024-05-30T00:00:00"/>
    <x v="1"/>
  </r>
  <r>
    <s v="DBK-CMP-100294"/>
    <s v="DBK-CUS-500294"/>
    <x v="7"/>
    <x v="2"/>
    <x v="74"/>
    <n v="8"/>
    <x v="1"/>
    <d v="2024-10-16T00:00:00"/>
    <x v="3"/>
  </r>
  <r>
    <s v="DBK-CMP-100295"/>
    <s v="DBK-CUS-500295"/>
    <x v="0"/>
    <x v="3"/>
    <x v="198"/>
    <n v="34"/>
    <x v="1"/>
    <d v="2024-06-06T00:00:00"/>
    <x v="2"/>
  </r>
  <r>
    <s v="DBK-CMP-100296"/>
    <s v="DBK-CUS-500296"/>
    <x v="5"/>
    <x v="1"/>
    <x v="161"/>
    <n v="10"/>
    <x v="1"/>
    <d v="2024-04-13T00:00:00"/>
    <x v="3"/>
  </r>
  <r>
    <s v="DBK-CMP-100297"/>
    <s v="DBK-CUS-500297"/>
    <x v="6"/>
    <x v="3"/>
    <x v="199"/>
    <n v="22"/>
    <x v="1"/>
    <d v="2024-12-04T00:00:00"/>
    <x v="5"/>
  </r>
  <r>
    <s v="DBK-CMP-100298"/>
    <s v="DBK-CUS-500298"/>
    <x v="5"/>
    <x v="0"/>
    <x v="200"/>
    <n v="7"/>
    <x v="1"/>
    <d v="2024-05-05T00:00:00"/>
    <x v="1"/>
  </r>
  <r>
    <s v="DBK-CMP-100299"/>
    <s v="DBK-CUS-500299"/>
    <x v="1"/>
    <x v="4"/>
    <x v="201"/>
    <n v="14"/>
    <x v="1"/>
    <d v="2024-06-19T00:00:00"/>
    <x v="5"/>
  </r>
  <r>
    <s v="DBK-CMP-100300"/>
    <s v="DBK-CUS-500300"/>
    <x v="1"/>
    <x v="0"/>
    <x v="149"/>
    <n v="10"/>
    <x v="2"/>
    <m/>
    <x v="0"/>
  </r>
  <r>
    <s v="DBK-CMP-100301"/>
    <s v="DBK-CUS-500301"/>
    <x v="0"/>
    <x v="0"/>
    <x v="103"/>
    <n v="11"/>
    <x v="1"/>
    <d v="2024-06-03T00:00:00"/>
    <x v="1"/>
  </r>
  <r>
    <s v="DBK-CMP-100302"/>
    <s v="DBK-CUS-500302"/>
    <x v="0"/>
    <x v="3"/>
    <x v="47"/>
    <n v="9"/>
    <x v="1"/>
    <d v="2024-11-04T00:00:00"/>
    <x v="1"/>
  </r>
  <r>
    <s v="DBK-CMP-100303"/>
    <s v="DBK-CUS-500303"/>
    <x v="1"/>
    <x v="0"/>
    <x v="100"/>
    <n v="13"/>
    <x v="0"/>
    <m/>
    <x v="0"/>
  </r>
  <r>
    <s v="DBK-CMP-100304"/>
    <s v="DBK-CUS-500304"/>
    <x v="7"/>
    <x v="2"/>
    <x v="47"/>
    <n v="9"/>
    <x v="1"/>
    <d v="2024-11-04T00:00:00"/>
    <x v="1"/>
  </r>
  <r>
    <s v="DBK-CMP-100305"/>
    <s v="DBK-CUS-500305"/>
    <x v="2"/>
    <x v="4"/>
    <x v="86"/>
    <n v="66"/>
    <x v="1"/>
    <d v="2024-04-13T00:00:00"/>
    <x v="4"/>
  </r>
  <r>
    <s v="DBK-CMP-100306"/>
    <s v="DBK-CUS-500306"/>
    <x v="7"/>
    <x v="2"/>
    <x v="202"/>
    <n v="24"/>
    <x v="1"/>
    <d v="2024-03-21T00:00:00"/>
    <x v="5"/>
  </r>
  <r>
    <s v="DBK-CMP-100307"/>
    <s v="DBK-CUS-500307"/>
    <x v="2"/>
    <x v="3"/>
    <x v="203"/>
    <n v="77"/>
    <x v="2"/>
    <m/>
    <x v="0"/>
  </r>
  <r>
    <s v="DBK-CMP-100308"/>
    <s v="DBK-CUS-500308"/>
    <x v="5"/>
    <x v="2"/>
    <x v="100"/>
    <n v="10"/>
    <x v="1"/>
    <d v="2024-10-26T00:00:00"/>
    <x v="1"/>
  </r>
  <r>
    <s v="DBK-CMP-100309"/>
    <s v="DBK-CUS-500309"/>
    <x v="1"/>
    <x v="1"/>
    <x v="204"/>
    <n v="34"/>
    <x v="2"/>
    <m/>
    <x v="0"/>
  </r>
  <r>
    <s v="DBK-CMP-100310"/>
    <s v="DBK-CUS-500310"/>
    <x v="5"/>
    <x v="4"/>
    <x v="205"/>
    <n v="9"/>
    <x v="1"/>
    <d v="2024-01-01T00:00:00"/>
    <x v="1"/>
  </r>
  <r>
    <s v="DBK-CMP-100311"/>
    <s v="DBK-CUS-500311"/>
    <x v="6"/>
    <x v="2"/>
    <x v="206"/>
    <n v="17"/>
    <x v="2"/>
    <m/>
    <x v="0"/>
  </r>
  <r>
    <s v="DBK-CMP-100312"/>
    <s v="DBK-CUS-500312"/>
    <x v="2"/>
    <x v="0"/>
    <x v="207"/>
    <n v="80"/>
    <x v="1"/>
    <d v="2024-12-20T00:00:00"/>
    <x v="4"/>
  </r>
  <r>
    <s v="DBK-CMP-100313"/>
    <s v="DBK-CUS-500313"/>
    <x v="7"/>
    <x v="0"/>
    <x v="208"/>
    <n v="23"/>
    <x v="1"/>
    <d v="2024-03-19T00:00:00"/>
    <x v="5"/>
  </r>
  <r>
    <s v="DBK-CMP-100314"/>
    <s v="DBK-CUS-500314"/>
    <x v="4"/>
    <x v="0"/>
    <x v="209"/>
    <n v="61"/>
    <x v="1"/>
    <d v="2024-09-15T00:00:00"/>
    <x v="4"/>
  </r>
  <r>
    <s v="DBK-CMP-100315"/>
    <s v="DBK-CUS-500315"/>
    <x v="6"/>
    <x v="0"/>
    <x v="39"/>
    <n v="23"/>
    <x v="1"/>
    <d v="2024-05-26T00:00:00"/>
    <x v="5"/>
  </r>
  <r>
    <s v="DBK-CMP-100316"/>
    <s v="DBK-CUS-500316"/>
    <x v="4"/>
    <x v="1"/>
    <x v="210"/>
    <n v="39"/>
    <x v="1"/>
    <d v="2024-02-25T00:00:00"/>
    <x v="2"/>
  </r>
  <r>
    <s v="DBK-CMP-100317"/>
    <s v="DBK-CUS-500317"/>
    <x v="1"/>
    <x v="1"/>
    <x v="211"/>
    <n v="25"/>
    <x v="1"/>
    <d v="2024-07-03T00:00:00"/>
    <x v="2"/>
  </r>
  <r>
    <s v="DBK-CMP-100318"/>
    <s v="DBK-CUS-500318"/>
    <x v="2"/>
    <x v="1"/>
    <x v="21"/>
    <n v="80"/>
    <x v="1"/>
    <d v="2024-02-15T00:00:00"/>
    <x v="4"/>
  </r>
  <r>
    <s v="DBK-CMP-100319"/>
    <s v="DBK-CUS-500319"/>
    <x v="2"/>
    <x v="2"/>
    <x v="212"/>
    <n v="69"/>
    <x v="1"/>
    <d v="2024-04-14T00:00:00"/>
    <x v="4"/>
  </r>
  <r>
    <s v="DBK-CMP-100320"/>
    <s v="DBK-CUS-500320"/>
    <x v="3"/>
    <x v="0"/>
    <x v="213"/>
    <n v="19"/>
    <x v="0"/>
    <m/>
    <x v="0"/>
  </r>
  <r>
    <s v="DBK-CMP-100321"/>
    <s v="DBK-CUS-500321"/>
    <x v="2"/>
    <x v="0"/>
    <x v="214"/>
    <n v="25"/>
    <x v="1"/>
    <d v="2024-04-11T00:00:00"/>
    <x v="2"/>
  </r>
  <r>
    <s v="DBK-CMP-100322"/>
    <s v="DBK-CUS-500322"/>
    <x v="6"/>
    <x v="0"/>
    <x v="215"/>
    <n v="2"/>
    <x v="1"/>
    <d v="2024-12-08T00:00:00"/>
    <x v="3"/>
  </r>
  <r>
    <s v="DBK-CMP-100323"/>
    <s v="DBK-CUS-500323"/>
    <x v="1"/>
    <x v="0"/>
    <x v="216"/>
    <n v="11"/>
    <x v="1"/>
    <d v="2024-05-09T00:00:00"/>
    <x v="1"/>
  </r>
  <r>
    <s v="DBK-CMP-100324"/>
    <s v="DBK-CUS-500324"/>
    <x v="6"/>
    <x v="2"/>
    <x v="217"/>
    <n v="15"/>
    <x v="1"/>
    <d v="2024-11-15T00:00:00"/>
    <x v="5"/>
  </r>
  <r>
    <s v="DBK-CMP-100325"/>
    <s v="DBK-CUS-500325"/>
    <x v="6"/>
    <x v="0"/>
    <x v="218"/>
    <n v="8"/>
    <x v="0"/>
    <m/>
    <x v="0"/>
  </r>
  <r>
    <s v="DBK-CMP-100326"/>
    <s v="DBK-CUS-500326"/>
    <x v="0"/>
    <x v="3"/>
    <x v="172"/>
    <n v="8"/>
    <x v="1"/>
    <d v="2024-11-16T00:00:00"/>
    <x v="1"/>
  </r>
  <r>
    <s v="DBK-CMP-100327"/>
    <s v="DBK-CUS-500327"/>
    <x v="0"/>
    <x v="3"/>
    <x v="219"/>
    <n v="6"/>
    <x v="0"/>
    <m/>
    <x v="0"/>
  </r>
  <r>
    <s v="DBK-CMP-100328"/>
    <s v="DBK-CUS-500328"/>
    <x v="1"/>
    <x v="4"/>
    <x v="220"/>
    <n v="18"/>
    <x v="0"/>
    <m/>
    <x v="0"/>
  </r>
  <r>
    <s v="DBK-CMP-100329"/>
    <s v="DBK-CUS-500329"/>
    <x v="7"/>
    <x v="0"/>
    <x v="221"/>
    <n v="20"/>
    <x v="1"/>
    <d v="2024-04-15T00:00:00"/>
    <x v="5"/>
  </r>
  <r>
    <s v="DBK-CMP-100330"/>
    <s v="DBK-CUS-500330"/>
    <x v="4"/>
    <x v="1"/>
    <x v="115"/>
    <n v="56"/>
    <x v="0"/>
    <m/>
    <x v="0"/>
  </r>
  <r>
    <s v="DBK-CMP-100331"/>
    <s v="DBK-CUS-500331"/>
    <x v="7"/>
    <x v="1"/>
    <x v="222"/>
    <n v="21"/>
    <x v="1"/>
    <d v="2024-05-29T00:00:00"/>
    <x v="5"/>
  </r>
  <r>
    <s v="DBK-CMP-100332"/>
    <s v="DBK-CUS-500332"/>
    <x v="2"/>
    <x v="0"/>
    <x v="223"/>
    <n v="39"/>
    <x v="0"/>
    <m/>
    <x v="0"/>
  </r>
  <r>
    <s v="DBK-CMP-100333"/>
    <s v="DBK-CUS-500333"/>
    <x v="4"/>
    <x v="3"/>
    <x v="121"/>
    <n v="72"/>
    <x v="0"/>
    <m/>
    <x v="0"/>
  </r>
  <r>
    <s v="DBK-CMP-100334"/>
    <s v="DBK-CUS-500334"/>
    <x v="6"/>
    <x v="2"/>
    <x v="123"/>
    <n v="12"/>
    <x v="1"/>
    <d v="2024-06-25T00:00:00"/>
    <x v="1"/>
  </r>
  <r>
    <s v="DBK-CMP-100335"/>
    <s v="DBK-CUS-500335"/>
    <x v="3"/>
    <x v="2"/>
    <x v="224"/>
    <n v="51"/>
    <x v="0"/>
    <m/>
    <x v="0"/>
  </r>
  <r>
    <s v="DBK-CMP-100336"/>
    <s v="DBK-CUS-500336"/>
    <x v="1"/>
    <x v="1"/>
    <x v="31"/>
    <n v="15"/>
    <x v="1"/>
    <d v="2024-03-28T00:00:00"/>
    <x v="5"/>
  </r>
  <r>
    <s v="DBK-CMP-100337"/>
    <s v="DBK-CUS-500337"/>
    <x v="0"/>
    <x v="4"/>
    <x v="56"/>
    <n v="23"/>
    <x v="1"/>
    <d v="2024-07-14T00:00:00"/>
    <x v="5"/>
  </r>
  <r>
    <s v="DBK-CMP-100338"/>
    <s v="DBK-CUS-500338"/>
    <x v="5"/>
    <x v="2"/>
    <x v="95"/>
    <n v="3"/>
    <x v="1"/>
    <d v="2024-04-06T00:00:00"/>
    <x v="3"/>
  </r>
  <r>
    <s v="DBK-CMP-100339"/>
    <s v="DBK-CUS-500339"/>
    <x v="1"/>
    <x v="2"/>
    <x v="196"/>
    <n v="13"/>
    <x v="1"/>
    <d v="2024-08-04T00:00:00"/>
    <x v="5"/>
  </r>
  <r>
    <s v="DBK-CMP-100340"/>
    <s v="DBK-CUS-500340"/>
    <x v="1"/>
    <x v="3"/>
    <x v="11"/>
    <n v="21"/>
    <x v="2"/>
    <m/>
    <x v="0"/>
  </r>
  <r>
    <s v="DBK-CMP-100341"/>
    <s v="DBK-CUS-500341"/>
    <x v="0"/>
    <x v="2"/>
    <x v="132"/>
    <n v="10"/>
    <x v="1"/>
    <d v="2024-11-22T00:00:00"/>
    <x v="1"/>
  </r>
  <r>
    <s v="DBK-CMP-100342"/>
    <s v="DBK-CUS-500342"/>
    <x v="1"/>
    <x v="0"/>
    <x v="225"/>
    <n v="11"/>
    <x v="2"/>
    <m/>
    <x v="0"/>
  </r>
  <r>
    <s v="DBK-CMP-100343"/>
    <s v="DBK-CUS-500343"/>
    <x v="5"/>
    <x v="0"/>
    <x v="226"/>
    <n v="5"/>
    <x v="1"/>
    <d v="2024-06-06T00:00:00"/>
    <x v="3"/>
  </r>
  <r>
    <s v="DBK-CMP-100344"/>
    <s v="DBK-CUS-500344"/>
    <x v="0"/>
    <x v="3"/>
    <x v="227"/>
    <n v="19"/>
    <x v="1"/>
    <d v="2024-11-27T00:00:00"/>
    <x v="3"/>
  </r>
  <r>
    <s v="DBK-CMP-100345"/>
    <s v="DBK-CUS-500345"/>
    <x v="6"/>
    <x v="2"/>
    <x v="114"/>
    <n v="14"/>
    <x v="0"/>
    <m/>
    <x v="0"/>
  </r>
  <r>
    <s v="DBK-CMP-100346"/>
    <s v="DBK-CUS-500346"/>
    <x v="4"/>
    <x v="1"/>
    <x v="85"/>
    <n v="61"/>
    <x v="2"/>
    <m/>
    <x v="0"/>
  </r>
  <r>
    <s v="DBK-CMP-100347"/>
    <s v="DBK-CUS-500347"/>
    <x v="7"/>
    <x v="2"/>
    <x v="225"/>
    <n v="17"/>
    <x v="1"/>
    <d v="2024-08-12T00:00:00"/>
    <x v="5"/>
  </r>
  <r>
    <s v="DBK-CMP-100348"/>
    <s v="DBK-CUS-500348"/>
    <x v="6"/>
    <x v="2"/>
    <x v="185"/>
    <n v="3"/>
    <x v="1"/>
    <d v="2024-05-15T00:00:00"/>
    <x v="3"/>
  </r>
  <r>
    <s v="DBK-CMP-100349"/>
    <s v="DBK-CUS-500349"/>
    <x v="7"/>
    <x v="0"/>
    <x v="81"/>
    <n v="3"/>
    <x v="0"/>
    <m/>
    <x v="0"/>
  </r>
  <r>
    <s v="DBK-CMP-100350"/>
    <s v="DBK-CUS-500350"/>
    <x v="7"/>
    <x v="3"/>
    <x v="228"/>
    <n v="10"/>
    <x v="1"/>
    <d v="2024-03-12T00:00:00"/>
    <x v="1"/>
  </r>
  <r>
    <s v="DBK-CMP-100351"/>
    <s v="DBK-CUS-500351"/>
    <x v="3"/>
    <x v="0"/>
    <x v="229"/>
    <n v="67"/>
    <x v="1"/>
    <d v="2024-09-24T00:00:00"/>
    <x v="4"/>
  </r>
  <r>
    <s v="DBK-CMP-100352"/>
    <s v="DBK-CUS-500352"/>
    <x v="2"/>
    <x v="1"/>
    <x v="104"/>
    <n v="56"/>
    <x v="1"/>
    <d v="2024-03-13T00:00:00"/>
    <x v="4"/>
  </r>
  <r>
    <s v="DBK-CMP-100353"/>
    <s v="DBK-CUS-500353"/>
    <x v="3"/>
    <x v="2"/>
    <x v="230"/>
    <n v="52"/>
    <x v="1"/>
    <d v="2024-12-29T00:00:00"/>
    <x v="4"/>
  </r>
  <r>
    <s v="DBK-CMP-100354"/>
    <s v="DBK-CUS-500354"/>
    <x v="2"/>
    <x v="0"/>
    <x v="231"/>
    <n v="55"/>
    <x v="1"/>
    <d v="2024-01-18T00:00:00"/>
    <x v="4"/>
  </r>
  <r>
    <s v="DBK-CMP-100355"/>
    <s v="DBK-CUS-500355"/>
    <x v="1"/>
    <x v="1"/>
    <x v="225"/>
    <n v="17"/>
    <x v="1"/>
    <d v="2024-08-12T00:00:00"/>
    <x v="5"/>
  </r>
  <r>
    <s v="DBK-CMP-100356"/>
    <s v="DBK-CUS-500356"/>
    <x v="1"/>
    <x v="0"/>
    <x v="106"/>
    <n v="26"/>
    <x v="1"/>
    <d v="2024-04-05T00:00:00"/>
    <x v="2"/>
  </r>
  <r>
    <s v="DBK-CMP-100357"/>
    <s v="DBK-CUS-500357"/>
    <x v="5"/>
    <x v="0"/>
    <x v="228"/>
    <n v="12"/>
    <x v="1"/>
    <d v="2024-03-12T00:00:00"/>
    <x v="1"/>
  </r>
  <r>
    <s v="DBK-CMP-100358"/>
    <s v="DBK-CUS-500358"/>
    <x v="2"/>
    <x v="4"/>
    <x v="101"/>
    <n v="87"/>
    <x v="0"/>
    <m/>
    <x v="0"/>
  </r>
  <r>
    <s v="DBK-CMP-100359"/>
    <s v="DBK-CUS-500359"/>
    <x v="2"/>
    <x v="2"/>
    <x v="232"/>
    <n v="76"/>
    <x v="1"/>
    <d v="2024-09-20T00:00:00"/>
    <x v="3"/>
  </r>
  <r>
    <s v="DBK-CMP-100360"/>
    <s v="DBK-CUS-500360"/>
    <x v="2"/>
    <x v="0"/>
    <x v="174"/>
    <n v="32"/>
    <x v="2"/>
    <m/>
    <x v="0"/>
  </r>
  <r>
    <s v="DBK-CMP-100361"/>
    <s v="DBK-CUS-500361"/>
    <x v="3"/>
    <x v="3"/>
    <x v="90"/>
    <n v="26"/>
    <x v="1"/>
    <d v="2024-05-05T00:00:00"/>
    <x v="2"/>
  </r>
  <r>
    <s v="DBK-CMP-100362"/>
    <s v="DBK-CUS-500362"/>
    <x v="6"/>
    <x v="2"/>
    <x v="233"/>
    <n v="8"/>
    <x v="1"/>
    <d v="2024-08-01T00:00:00"/>
    <x v="1"/>
  </r>
  <r>
    <s v="DBK-CMP-100363"/>
    <s v="DBK-CUS-500363"/>
    <x v="5"/>
    <x v="1"/>
    <x v="232"/>
    <n v="3"/>
    <x v="1"/>
    <d v="2024-09-17T00:00:00"/>
    <x v="3"/>
  </r>
  <r>
    <s v="DBK-CMP-100364"/>
    <s v="DBK-CUS-500364"/>
    <x v="4"/>
    <x v="1"/>
    <x v="105"/>
    <n v="11"/>
    <x v="1"/>
    <d v="2024-04-27T00:00:00"/>
    <x v="1"/>
  </r>
  <r>
    <s v="DBK-CMP-100365"/>
    <s v="DBK-CUS-500365"/>
    <x v="0"/>
    <x v="1"/>
    <x v="199"/>
    <n v="41"/>
    <x v="1"/>
    <d v="2024-12-05T00:00:00"/>
    <x v="2"/>
  </r>
  <r>
    <s v="DBK-CMP-100366"/>
    <s v="DBK-CUS-500366"/>
    <x v="3"/>
    <x v="1"/>
    <x v="234"/>
    <n v="20"/>
    <x v="2"/>
    <m/>
    <x v="0"/>
  </r>
  <r>
    <s v="DBK-CMP-100367"/>
    <s v="DBK-CUS-500367"/>
    <x v="7"/>
    <x v="2"/>
    <x v="235"/>
    <n v="2"/>
    <x v="1"/>
    <d v="2024-11-11T00:00:00"/>
    <x v="3"/>
  </r>
  <r>
    <s v="DBK-CMP-100368"/>
    <s v="DBK-CUS-500368"/>
    <x v="6"/>
    <x v="0"/>
    <x v="199"/>
    <n v="13"/>
    <x v="1"/>
    <d v="2024-12-04T00:00:00"/>
    <x v="5"/>
  </r>
  <r>
    <s v="DBK-CMP-100369"/>
    <s v="DBK-CUS-500369"/>
    <x v="1"/>
    <x v="2"/>
    <x v="236"/>
    <n v="22"/>
    <x v="1"/>
    <d v="2024-02-07T00:00:00"/>
    <x v="3"/>
  </r>
  <r>
    <s v="DBK-CMP-100370"/>
    <s v="DBK-CUS-500370"/>
    <x v="4"/>
    <x v="1"/>
    <x v="126"/>
    <n v="49"/>
    <x v="1"/>
    <d v="2024-01-29T00:00:00"/>
    <x v="4"/>
  </r>
  <r>
    <s v="DBK-CMP-100371"/>
    <s v="DBK-CUS-500371"/>
    <x v="6"/>
    <x v="2"/>
    <x v="237"/>
    <n v="9"/>
    <x v="1"/>
    <d v="2024-01-15T00:00:00"/>
    <x v="1"/>
  </r>
  <r>
    <s v="DBK-CMP-100372"/>
    <s v="DBK-CUS-500372"/>
    <x v="0"/>
    <x v="3"/>
    <x v="54"/>
    <n v="8"/>
    <x v="1"/>
    <d v="2024-05-19T00:00:00"/>
    <x v="1"/>
  </r>
  <r>
    <s v="DBK-CMP-100373"/>
    <s v="DBK-CUS-500373"/>
    <x v="2"/>
    <x v="2"/>
    <x v="150"/>
    <n v="33"/>
    <x v="1"/>
    <d v="2024-02-22T00:00:00"/>
    <x v="3"/>
  </r>
  <r>
    <s v="DBK-CMP-100374"/>
    <s v="DBK-CUS-500374"/>
    <x v="1"/>
    <x v="4"/>
    <x v="238"/>
    <n v="6"/>
    <x v="0"/>
    <m/>
    <x v="0"/>
  </r>
  <r>
    <s v="DBK-CMP-100375"/>
    <s v="DBK-CUS-500375"/>
    <x v="5"/>
    <x v="4"/>
    <x v="239"/>
    <n v="4"/>
    <x v="1"/>
    <d v="2024-02-22T00:00:00"/>
    <x v="3"/>
  </r>
  <r>
    <s v="DBK-CMP-100376"/>
    <s v="DBK-CUS-500376"/>
    <x v="4"/>
    <x v="3"/>
    <x v="240"/>
    <n v="15"/>
    <x v="1"/>
    <d v="2024-08-15T00:00:00"/>
    <x v="5"/>
  </r>
  <r>
    <s v="DBK-CMP-100377"/>
    <s v="DBK-CUS-500377"/>
    <x v="3"/>
    <x v="3"/>
    <x v="100"/>
    <n v="17"/>
    <x v="1"/>
    <d v="2024-10-26T00:00:00"/>
    <x v="5"/>
  </r>
  <r>
    <s v="DBK-CMP-100378"/>
    <s v="DBK-CUS-500378"/>
    <x v="3"/>
    <x v="0"/>
    <x v="237"/>
    <n v="29"/>
    <x v="1"/>
    <d v="2024-01-16T00:00:00"/>
    <x v="2"/>
  </r>
  <r>
    <s v="DBK-CMP-100379"/>
    <s v="DBK-CUS-500379"/>
    <x v="0"/>
    <x v="1"/>
    <x v="138"/>
    <n v="14"/>
    <x v="1"/>
    <d v="2024-03-06T00:00:00"/>
    <x v="5"/>
  </r>
  <r>
    <s v="DBK-CMP-100380"/>
    <s v="DBK-CUS-500380"/>
    <x v="7"/>
    <x v="0"/>
    <x v="241"/>
    <n v="22"/>
    <x v="2"/>
    <m/>
    <x v="0"/>
  </r>
  <r>
    <s v="DBK-CMP-100381"/>
    <s v="DBK-CUS-500381"/>
    <x v="3"/>
    <x v="0"/>
    <x v="191"/>
    <n v="13"/>
    <x v="0"/>
    <m/>
    <x v="0"/>
  </r>
  <r>
    <s v="DBK-CMP-100382"/>
    <s v="DBK-CUS-500382"/>
    <x v="7"/>
    <x v="0"/>
    <x v="13"/>
    <n v="22"/>
    <x v="1"/>
    <d v="2024-12-22T00:00:00"/>
    <x v="5"/>
  </r>
  <r>
    <s v="DBK-CMP-100383"/>
    <s v="DBK-CUS-500383"/>
    <x v="0"/>
    <x v="4"/>
    <x v="242"/>
    <n v="31"/>
    <x v="1"/>
    <d v="2024-10-26T00:00:00"/>
    <x v="2"/>
  </r>
  <r>
    <s v="DBK-CMP-100384"/>
    <s v="DBK-CUS-500384"/>
    <x v="3"/>
    <x v="0"/>
    <x v="33"/>
    <n v="36"/>
    <x v="0"/>
    <m/>
    <x v="0"/>
  </r>
  <r>
    <s v="DBK-CMP-100385"/>
    <s v="DBK-CUS-500385"/>
    <x v="1"/>
    <x v="4"/>
    <x v="243"/>
    <n v="36"/>
    <x v="1"/>
    <d v="2024-08-30T00:00:00"/>
    <x v="2"/>
  </r>
  <r>
    <s v="DBK-CMP-100386"/>
    <s v="DBK-CUS-500386"/>
    <x v="4"/>
    <x v="3"/>
    <x v="6"/>
    <n v="17"/>
    <x v="0"/>
    <m/>
    <x v="0"/>
  </r>
  <r>
    <s v="DBK-CMP-100387"/>
    <s v="DBK-CUS-500387"/>
    <x v="6"/>
    <x v="3"/>
    <x v="188"/>
    <n v="2"/>
    <x v="1"/>
    <d v="2024-05-31T00:00:00"/>
    <x v="3"/>
  </r>
  <r>
    <s v="DBK-CMP-100388"/>
    <s v="DBK-CUS-500388"/>
    <x v="3"/>
    <x v="3"/>
    <x v="24"/>
    <n v="52"/>
    <x v="1"/>
    <d v="2024-09-18T00:00:00"/>
    <x v="4"/>
  </r>
  <r>
    <s v="DBK-CMP-100389"/>
    <s v="DBK-CUS-500389"/>
    <x v="3"/>
    <x v="1"/>
    <x v="244"/>
    <n v="31"/>
    <x v="1"/>
    <d v="2024-02-06T00:00:00"/>
    <x v="2"/>
  </r>
  <r>
    <s v="DBK-CMP-100390"/>
    <s v="DBK-CUS-500390"/>
    <x v="7"/>
    <x v="3"/>
    <x v="9"/>
    <n v="6"/>
    <x v="1"/>
    <d v="2024-03-17T00:00:00"/>
    <x v="3"/>
  </r>
  <r>
    <s v="DBK-CMP-100391"/>
    <s v="DBK-CUS-500391"/>
    <x v="0"/>
    <x v="4"/>
    <x v="189"/>
    <n v="33"/>
    <x v="1"/>
    <d v="2024-05-09T00:00:00"/>
    <x v="2"/>
  </r>
  <r>
    <s v="DBK-CMP-100392"/>
    <s v="DBK-CUS-500392"/>
    <x v="6"/>
    <x v="0"/>
    <x v="245"/>
    <n v="23"/>
    <x v="0"/>
    <m/>
    <x v="0"/>
  </r>
  <r>
    <s v="DBK-CMP-100393"/>
    <s v="DBK-CUS-500393"/>
    <x v="2"/>
    <x v="0"/>
    <x v="68"/>
    <n v="80"/>
    <x v="1"/>
    <d v="2024-04-24T00:00:00"/>
    <x v="3"/>
  </r>
  <r>
    <s v="DBK-CMP-100394"/>
    <s v="DBK-CUS-500394"/>
    <x v="3"/>
    <x v="1"/>
    <x v="78"/>
    <n v="30"/>
    <x v="1"/>
    <d v="2024-06-25T00:00:00"/>
    <x v="2"/>
  </r>
  <r>
    <s v="DBK-CMP-100395"/>
    <s v="DBK-CUS-500395"/>
    <x v="4"/>
    <x v="1"/>
    <x v="230"/>
    <n v="42"/>
    <x v="1"/>
    <d v="2024-12-28T00:00:00"/>
    <x v="2"/>
  </r>
  <r>
    <s v="DBK-CMP-100396"/>
    <s v="DBK-CUS-500396"/>
    <x v="5"/>
    <x v="3"/>
    <x v="237"/>
    <n v="7"/>
    <x v="0"/>
    <m/>
    <x v="0"/>
  </r>
  <r>
    <s v="DBK-CMP-100397"/>
    <s v="DBK-CUS-500397"/>
    <x v="0"/>
    <x v="1"/>
    <x v="223"/>
    <n v="18"/>
    <x v="2"/>
    <m/>
    <x v="0"/>
  </r>
  <r>
    <s v="DBK-CMP-100398"/>
    <s v="DBK-CUS-500398"/>
    <x v="4"/>
    <x v="2"/>
    <x v="210"/>
    <n v="31"/>
    <x v="1"/>
    <d v="2024-02-25T00:00:00"/>
    <x v="2"/>
  </r>
  <r>
    <s v="DBK-CMP-100399"/>
    <s v="DBK-CUS-500399"/>
    <x v="4"/>
    <x v="2"/>
    <x v="81"/>
    <n v="18"/>
    <x v="0"/>
    <m/>
    <x v="0"/>
  </r>
  <r>
    <s v="DBK-CMP-100400"/>
    <s v="DBK-CUS-500400"/>
    <x v="0"/>
    <x v="1"/>
    <x v="16"/>
    <n v="44"/>
    <x v="1"/>
    <d v="2024-06-19T00:00:00"/>
    <x v="2"/>
  </r>
  <r>
    <s v="DBK-CMP-100401"/>
    <s v="DBK-CUS-500401"/>
    <x v="3"/>
    <x v="2"/>
    <x v="75"/>
    <n v="72"/>
    <x v="1"/>
    <d v="2024-03-26T00:00:00"/>
    <x v="4"/>
  </r>
  <r>
    <s v="DBK-CMP-100402"/>
    <s v="DBK-CUS-500402"/>
    <x v="2"/>
    <x v="1"/>
    <x v="246"/>
    <n v="50"/>
    <x v="2"/>
    <m/>
    <x v="0"/>
  </r>
  <r>
    <s v="DBK-CMP-100403"/>
    <s v="DBK-CUS-500403"/>
    <x v="3"/>
    <x v="1"/>
    <x v="141"/>
    <n v="18"/>
    <x v="0"/>
    <m/>
    <x v="0"/>
  </r>
  <r>
    <s v="DBK-CMP-100404"/>
    <s v="DBK-CUS-500404"/>
    <x v="5"/>
    <x v="3"/>
    <x v="245"/>
    <n v="9"/>
    <x v="1"/>
    <d v="2024-04-05T00:00:00"/>
    <x v="1"/>
  </r>
  <r>
    <s v="DBK-CMP-100405"/>
    <s v="DBK-CUS-500405"/>
    <x v="5"/>
    <x v="4"/>
    <x v="247"/>
    <n v="11"/>
    <x v="1"/>
    <d v="2024-11-07T00:00:00"/>
    <x v="1"/>
  </r>
  <r>
    <s v="DBK-CMP-100406"/>
    <s v="DBK-CUS-500406"/>
    <x v="7"/>
    <x v="0"/>
    <x v="119"/>
    <n v="17"/>
    <x v="1"/>
    <d v="2024-07-03T00:00:00"/>
    <x v="5"/>
  </r>
  <r>
    <s v="DBK-CMP-100407"/>
    <s v="DBK-CUS-500407"/>
    <x v="7"/>
    <x v="1"/>
    <x v="13"/>
    <n v="13"/>
    <x v="1"/>
    <d v="2024-12-22T00:00:00"/>
    <x v="3"/>
  </r>
  <r>
    <s v="DBK-CMP-100408"/>
    <s v="DBK-CUS-500408"/>
    <x v="4"/>
    <x v="2"/>
    <x v="248"/>
    <n v="25"/>
    <x v="1"/>
    <d v="2024-03-28T00:00:00"/>
    <x v="2"/>
  </r>
  <r>
    <s v="DBK-CMP-100409"/>
    <s v="DBK-CUS-500409"/>
    <x v="6"/>
    <x v="3"/>
    <x v="222"/>
    <n v="19"/>
    <x v="1"/>
    <d v="2024-05-29T00:00:00"/>
    <x v="3"/>
  </r>
  <r>
    <s v="DBK-CMP-100410"/>
    <s v="DBK-CUS-500410"/>
    <x v="3"/>
    <x v="0"/>
    <x v="21"/>
    <n v="57"/>
    <x v="1"/>
    <d v="2024-02-14T00:00:00"/>
    <x v="3"/>
  </r>
  <r>
    <s v="DBK-CMP-100411"/>
    <s v="DBK-CUS-500411"/>
    <x v="1"/>
    <x v="3"/>
    <x v="97"/>
    <n v="28"/>
    <x v="2"/>
    <m/>
    <x v="0"/>
  </r>
  <r>
    <s v="DBK-CMP-100412"/>
    <s v="DBK-CUS-500412"/>
    <x v="7"/>
    <x v="0"/>
    <x v="83"/>
    <n v="16"/>
    <x v="1"/>
    <d v="2024-11-06T00:00:00"/>
    <x v="5"/>
  </r>
  <r>
    <s v="DBK-CMP-100413"/>
    <s v="DBK-CUS-500413"/>
    <x v="7"/>
    <x v="1"/>
    <x v="249"/>
    <n v="22"/>
    <x v="1"/>
    <d v="2024-03-13T00:00:00"/>
    <x v="5"/>
  </r>
  <r>
    <s v="DBK-CMP-100414"/>
    <s v="DBK-CUS-500414"/>
    <x v="5"/>
    <x v="1"/>
    <x v="81"/>
    <n v="4"/>
    <x v="1"/>
    <d v="2024-02-13T00:00:00"/>
    <x v="3"/>
  </r>
  <r>
    <s v="DBK-CMP-100415"/>
    <s v="DBK-CUS-500415"/>
    <x v="3"/>
    <x v="0"/>
    <x v="250"/>
    <n v="6"/>
    <x v="1"/>
    <d v="2024-07-17T00:00:00"/>
    <x v="3"/>
  </r>
  <r>
    <s v="DBK-CMP-100416"/>
    <s v="DBK-CUS-500416"/>
    <x v="3"/>
    <x v="0"/>
    <x v="251"/>
    <n v="35"/>
    <x v="1"/>
    <d v="2024-08-19T00:00:00"/>
    <x v="2"/>
  </r>
  <r>
    <s v="DBK-CMP-100417"/>
    <s v="DBK-CUS-500417"/>
    <x v="1"/>
    <x v="4"/>
    <x v="252"/>
    <n v="29"/>
    <x v="0"/>
    <m/>
    <x v="0"/>
  </r>
  <r>
    <s v="DBK-CMP-100418"/>
    <s v="DBK-CUS-500418"/>
    <x v="2"/>
    <x v="2"/>
    <x v="253"/>
    <n v="89"/>
    <x v="0"/>
    <m/>
    <x v="0"/>
  </r>
  <r>
    <s v="DBK-CMP-100419"/>
    <s v="DBK-CUS-500419"/>
    <x v="4"/>
    <x v="0"/>
    <x v="190"/>
    <n v="54"/>
    <x v="0"/>
    <m/>
    <x v="0"/>
  </r>
  <r>
    <s v="DBK-CMP-100420"/>
    <s v="DBK-CUS-500420"/>
    <x v="7"/>
    <x v="3"/>
    <x v="66"/>
    <n v="8"/>
    <x v="1"/>
    <d v="2024-05-14T00:00:00"/>
    <x v="1"/>
  </r>
  <r>
    <s v="DBK-CMP-100421"/>
    <s v="DBK-CUS-500421"/>
    <x v="4"/>
    <x v="0"/>
    <x v="208"/>
    <n v="26"/>
    <x v="1"/>
    <d v="2024-03-20T00:00:00"/>
    <x v="2"/>
  </r>
  <r>
    <s v="DBK-CMP-100422"/>
    <s v="DBK-CUS-500422"/>
    <x v="0"/>
    <x v="3"/>
    <x v="112"/>
    <n v="24"/>
    <x v="1"/>
    <d v="2024-07-01T00:00:00"/>
    <x v="5"/>
  </r>
  <r>
    <s v="DBK-CMP-100423"/>
    <s v="DBK-CUS-500423"/>
    <x v="7"/>
    <x v="2"/>
    <x v="241"/>
    <n v="8"/>
    <x v="1"/>
    <d v="2024-01-12T00:00:00"/>
    <x v="1"/>
  </r>
  <r>
    <s v="DBK-CMP-100424"/>
    <s v="DBK-CUS-500424"/>
    <x v="5"/>
    <x v="4"/>
    <x v="254"/>
    <n v="10"/>
    <x v="1"/>
    <d v="2024-11-29T00:00:00"/>
    <x v="1"/>
  </r>
  <r>
    <s v="DBK-CMP-100425"/>
    <s v="DBK-CUS-500425"/>
    <x v="0"/>
    <x v="2"/>
    <x v="228"/>
    <n v="28"/>
    <x v="1"/>
    <d v="2024-03-13T00:00:00"/>
    <x v="2"/>
  </r>
  <r>
    <s v="DBK-CMP-100426"/>
    <s v="DBK-CUS-500426"/>
    <x v="4"/>
    <x v="4"/>
    <x v="255"/>
    <n v="35"/>
    <x v="1"/>
    <d v="2024-12-02T00:00:00"/>
    <x v="2"/>
  </r>
  <r>
    <s v="DBK-CMP-100427"/>
    <s v="DBK-CUS-500427"/>
    <x v="5"/>
    <x v="4"/>
    <x v="243"/>
    <n v="12"/>
    <x v="0"/>
    <m/>
    <x v="0"/>
  </r>
  <r>
    <s v="DBK-CMP-100428"/>
    <s v="DBK-CUS-500428"/>
    <x v="3"/>
    <x v="1"/>
    <x v="114"/>
    <n v="60"/>
    <x v="1"/>
    <d v="2024-03-05T00:00:00"/>
    <x v="4"/>
  </r>
  <r>
    <s v="DBK-CMP-100429"/>
    <s v="DBK-CUS-500429"/>
    <x v="5"/>
    <x v="4"/>
    <x v="118"/>
    <n v="6"/>
    <x v="1"/>
    <d v="2024-09-24T00:00:00"/>
    <x v="3"/>
  </r>
  <r>
    <s v="DBK-CMP-100430"/>
    <s v="DBK-CUS-500430"/>
    <x v="1"/>
    <x v="3"/>
    <x v="256"/>
    <n v="10"/>
    <x v="1"/>
    <d v="2024-12-18T00:00:00"/>
    <x v="1"/>
  </r>
  <r>
    <s v="DBK-CMP-100431"/>
    <s v="DBK-CUS-500431"/>
    <x v="2"/>
    <x v="2"/>
    <x v="123"/>
    <n v="54"/>
    <x v="0"/>
    <m/>
    <x v="0"/>
  </r>
  <r>
    <s v="DBK-CMP-100432"/>
    <s v="DBK-CUS-500432"/>
    <x v="4"/>
    <x v="1"/>
    <x v="55"/>
    <n v="14"/>
    <x v="1"/>
    <d v="2024-12-31T00:00:00"/>
    <x v="5"/>
  </r>
  <r>
    <s v="DBK-CMP-100433"/>
    <s v="DBK-CUS-500433"/>
    <x v="6"/>
    <x v="4"/>
    <x v="201"/>
    <n v="4"/>
    <x v="1"/>
    <d v="2024-06-19T00:00:00"/>
    <x v="3"/>
  </r>
  <r>
    <s v="DBK-CMP-100434"/>
    <s v="DBK-CUS-500434"/>
    <x v="7"/>
    <x v="2"/>
    <x v="55"/>
    <n v="15"/>
    <x v="0"/>
    <m/>
    <x v="0"/>
  </r>
  <r>
    <s v="DBK-CMP-100435"/>
    <s v="DBK-CUS-500435"/>
    <x v="1"/>
    <x v="0"/>
    <x v="230"/>
    <n v="18"/>
    <x v="1"/>
    <d v="2024-12-27T00:00:00"/>
    <x v="3"/>
  </r>
  <r>
    <s v="DBK-CMP-100436"/>
    <s v="DBK-CUS-500436"/>
    <x v="5"/>
    <x v="4"/>
    <x v="93"/>
    <n v="8"/>
    <x v="0"/>
    <m/>
    <x v="0"/>
  </r>
  <r>
    <s v="DBK-CMP-100437"/>
    <s v="DBK-CUS-500437"/>
    <x v="5"/>
    <x v="1"/>
    <x v="257"/>
    <n v="11"/>
    <x v="1"/>
    <d v="2024-05-13T00:00:00"/>
    <x v="1"/>
  </r>
  <r>
    <s v="DBK-CMP-100438"/>
    <s v="DBK-CUS-500438"/>
    <x v="7"/>
    <x v="1"/>
    <x v="10"/>
    <n v="13"/>
    <x v="2"/>
    <m/>
    <x v="0"/>
  </r>
  <r>
    <s v="DBK-CMP-100439"/>
    <s v="DBK-CUS-500439"/>
    <x v="4"/>
    <x v="4"/>
    <x v="50"/>
    <n v="49"/>
    <x v="0"/>
    <m/>
    <x v="0"/>
  </r>
  <r>
    <s v="DBK-CMP-100440"/>
    <s v="DBK-CUS-500440"/>
    <x v="7"/>
    <x v="3"/>
    <x v="187"/>
    <n v="2"/>
    <x v="0"/>
    <m/>
    <x v="0"/>
  </r>
  <r>
    <s v="DBK-CMP-100441"/>
    <s v="DBK-CUS-500441"/>
    <x v="5"/>
    <x v="0"/>
    <x v="258"/>
    <n v="3"/>
    <x v="1"/>
    <d v="2024-08-02T00:00:00"/>
    <x v="3"/>
  </r>
  <r>
    <s v="DBK-CMP-100442"/>
    <s v="DBK-CUS-500442"/>
    <x v="2"/>
    <x v="1"/>
    <x v="244"/>
    <n v="42"/>
    <x v="1"/>
    <d v="2024-02-06T00:00:00"/>
    <x v="2"/>
  </r>
  <r>
    <s v="DBK-CMP-100443"/>
    <s v="DBK-CUS-500443"/>
    <x v="7"/>
    <x v="0"/>
    <x v="257"/>
    <n v="13"/>
    <x v="2"/>
    <m/>
    <x v="0"/>
  </r>
  <r>
    <s v="DBK-CMP-100444"/>
    <s v="DBK-CUS-500444"/>
    <x v="6"/>
    <x v="3"/>
    <x v="175"/>
    <n v="11"/>
    <x v="1"/>
    <d v="2024-02-23T00:00:00"/>
    <x v="1"/>
  </r>
  <r>
    <s v="DBK-CMP-100445"/>
    <s v="DBK-CUS-500445"/>
    <x v="6"/>
    <x v="4"/>
    <x v="37"/>
    <n v="17"/>
    <x v="1"/>
    <d v="2024-10-11T00:00:00"/>
    <x v="5"/>
  </r>
  <r>
    <s v="DBK-CMP-100446"/>
    <s v="DBK-CUS-500446"/>
    <x v="4"/>
    <x v="0"/>
    <x v="259"/>
    <n v="38"/>
    <x v="1"/>
    <d v="2024-07-20T00:00:00"/>
    <x v="2"/>
  </r>
  <r>
    <s v="DBK-CMP-100447"/>
    <s v="DBK-CUS-500447"/>
    <x v="7"/>
    <x v="2"/>
    <x v="260"/>
    <n v="6"/>
    <x v="1"/>
    <d v="2024-06-10T00:00:00"/>
    <x v="3"/>
  </r>
  <r>
    <s v="DBK-CMP-100448"/>
    <s v="DBK-CUS-500448"/>
    <x v="6"/>
    <x v="2"/>
    <x v="251"/>
    <n v="21"/>
    <x v="0"/>
    <m/>
    <x v="0"/>
  </r>
  <r>
    <s v="DBK-CMP-100449"/>
    <s v="DBK-CUS-500449"/>
    <x v="4"/>
    <x v="2"/>
    <x v="180"/>
    <n v="16"/>
    <x v="1"/>
    <d v="2024-08-17T00:00:00"/>
    <x v="3"/>
  </r>
  <r>
    <s v="DBK-CMP-100450"/>
    <s v="DBK-CUS-500450"/>
    <x v="2"/>
    <x v="2"/>
    <x v="139"/>
    <n v="92"/>
    <x v="1"/>
    <d v="2024-01-17T00:00:00"/>
    <x v="4"/>
  </r>
  <r>
    <s v="DBK-CMP-100451"/>
    <s v="DBK-CUS-500451"/>
    <x v="2"/>
    <x v="2"/>
    <x v="18"/>
    <n v="45"/>
    <x v="1"/>
    <d v="2024-03-02T00:00:00"/>
    <x v="3"/>
  </r>
  <r>
    <s v="DBK-CMP-100452"/>
    <s v="DBK-CUS-500452"/>
    <x v="6"/>
    <x v="1"/>
    <x v="175"/>
    <n v="24"/>
    <x v="1"/>
    <d v="2024-02-24T00:00:00"/>
    <x v="5"/>
  </r>
  <r>
    <s v="DBK-CMP-100453"/>
    <s v="DBK-CUS-500453"/>
    <x v="1"/>
    <x v="2"/>
    <x v="220"/>
    <n v="25"/>
    <x v="1"/>
    <d v="2024-02-05T00:00:00"/>
    <x v="2"/>
  </r>
  <r>
    <s v="DBK-CMP-100454"/>
    <s v="DBK-CUS-500454"/>
    <x v="0"/>
    <x v="2"/>
    <x v="194"/>
    <n v="47"/>
    <x v="1"/>
    <d v="2024-05-08T00:00:00"/>
    <x v="2"/>
  </r>
  <r>
    <s v="DBK-CMP-100455"/>
    <s v="DBK-CUS-500455"/>
    <x v="4"/>
    <x v="3"/>
    <x v="29"/>
    <n v="58"/>
    <x v="0"/>
    <m/>
    <x v="0"/>
  </r>
  <r>
    <s v="DBK-CMP-100456"/>
    <s v="DBK-CUS-500456"/>
    <x v="4"/>
    <x v="2"/>
    <x v="37"/>
    <n v="34"/>
    <x v="1"/>
    <d v="2024-10-12T00:00:00"/>
    <x v="2"/>
  </r>
  <r>
    <s v="DBK-CMP-100457"/>
    <s v="DBK-CUS-500457"/>
    <x v="2"/>
    <x v="3"/>
    <x v="261"/>
    <n v="60"/>
    <x v="1"/>
    <d v="2024-12-31T00:00:00"/>
    <x v="4"/>
  </r>
  <r>
    <s v="DBK-CMP-100458"/>
    <s v="DBK-CUS-500458"/>
    <x v="3"/>
    <x v="4"/>
    <x v="172"/>
    <n v="9"/>
    <x v="0"/>
    <m/>
    <x v="0"/>
  </r>
  <r>
    <s v="DBK-CMP-100459"/>
    <s v="DBK-CUS-500459"/>
    <x v="1"/>
    <x v="0"/>
    <x v="222"/>
    <n v="23"/>
    <x v="1"/>
    <d v="2024-05-29T00:00:00"/>
    <x v="5"/>
  </r>
  <r>
    <s v="DBK-CMP-100460"/>
    <s v="DBK-CUS-500460"/>
    <x v="1"/>
    <x v="2"/>
    <x v="262"/>
    <n v="26"/>
    <x v="1"/>
    <d v="2024-01-05T00:00:00"/>
    <x v="2"/>
  </r>
  <r>
    <s v="DBK-CMP-100461"/>
    <s v="DBK-CUS-500461"/>
    <x v="7"/>
    <x v="4"/>
    <x v="214"/>
    <n v="12"/>
    <x v="1"/>
    <d v="2024-04-10T00:00:00"/>
    <x v="1"/>
  </r>
  <r>
    <s v="DBK-CMP-100462"/>
    <s v="DBK-CUS-500462"/>
    <x v="3"/>
    <x v="2"/>
    <x v="94"/>
    <n v="31"/>
    <x v="2"/>
    <m/>
    <x v="0"/>
  </r>
  <r>
    <s v="DBK-CMP-100463"/>
    <s v="DBK-CUS-500463"/>
    <x v="3"/>
    <x v="1"/>
    <x v="263"/>
    <n v="46"/>
    <x v="1"/>
    <d v="2024-07-10T00:00:00"/>
    <x v="2"/>
  </r>
  <r>
    <s v="DBK-CMP-100464"/>
    <s v="DBK-CUS-500464"/>
    <x v="7"/>
    <x v="1"/>
    <x v="68"/>
    <n v="6"/>
    <x v="2"/>
    <m/>
    <x v="0"/>
  </r>
  <r>
    <s v="DBK-CMP-100465"/>
    <s v="DBK-CUS-500465"/>
    <x v="3"/>
    <x v="0"/>
    <x v="121"/>
    <n v="14"/>
    <x v="1"/>
    <d v="2024-10-14T00:00:00"/>
    <x v="5"/>
  </r>
  <r>
    <s v="DBK-CMP-100466"/>
    <s v="DBK-CUS-500466"/>
    <x v="4"/>
    <x v="4"/>
    <x v="233"/>
    <n v="8"/>
    <x v="1"/>
    <d v="2024-08-01T00:00:00"/>
    <x v="1"/>
  </r>
  <r>
    <s v="DBK-CMP-100467"/>
    <s v="DBK-CUS-500467"/>
    <x v="4"/>
    <x v="1"/>
    <x v="264"/>
    <n v="54"/>
    <x v="2"/>
    <m/>
    <x v="0"/>
  </r>
  <r>
    <s v="DBK-CMP-100468"/>
    <s v="DBK-CUS-500468"/>
    <x v="1"/>
    <x v="1"/>
    <x v="205"/>
    <n v="20"/>
    <x v="1"/>
    <d v="2024-01-01T00:00:00"/>
    <x v="5"/>
  </r>
  <r>
    <s v="DBK-CMP-100469"/>
    <s v="DBK-CUS-500469"/>
    <x v="5"/>
    <x v="3"/>
    <x v="265"/>
    <n v="9"/>
    <x v="1"/>
    <d v="2024-04-14T00:00:00"/>
    <x v="1"/>
  </r>
  <r>
    <s v="DBK-CMP-100470"/>
    <s v="DBK-CUS-500470"/>
    <x v="2"/>
    <x v="2"/>
    <x v="111"/>
    <n v="61"/>
    <x v="2"/>
    <m/>
    <x v="0"/>
  </r>
  <r>
    <s v="DBK-CMP-100471"/>
    <s v="DBK-CUS-500471"/>
    <x v="2"/>
    <x v="3"/>
    <x v="266"/>
    <n v="91"/>
    <x v="1"/>
    <d v="2024-09-04T00:00:00"/>
    <x v="4"/>
  </r>
  <r>
    <s v="DBK-CMP-100472"/>
    <s v="DBK-CUS-500472"/>
    <x v="6"/>
    <x v="0"/>
    <x v="157"/>
    <n v="21"/>
    <x v="0"/>
    <m/>
    <x v="0"/>
  </r>
  <r>
    <s v="DBK-CMP-100473"/>
    <s v="DBK-CUS-500473"/>
    <x v="3"/>
    <x v="3"/>
    <x v="35"/>
    <n v="58"/>
    <x v="1"/>
    <d v="2024-02-18T00:00:00"/>
    <x v="4"/>
  </r>
  <r>
    <s v="DBK-CMP-100474"/>
    <s v="DBK-CUS-500474"/>
    <x v="6"/>
    <x v="0"/>
    <x v="161"/>
    <n v="11"/>
    <x v="1"/>
    <d v="2024-04-13T00:00:00"/>
    <x v="1"/>
  </r>
  <r>
    <s v="DBK-CMP-100475"/>
    <s v="DBK-CUS-500475"/>
    <x v="3"/>
    <x v="0"/>
    <x v="267"/>
    <n v="46"/>
    <x v="1"/>
    <d v="2024-03-10T00:00:00"/>
    <x v="2"/>
  </r>
  <r>
    <s v="DBK-CMP-100476"/>
    <s v="DBK-CUS-500476"/>
    <x v="5"/>
    <x v="2"/>
    <x v="268"/>
    <n v="8"/>
    <x v="0"/>
    <m/>
    <x v="0"/>
  </r>
  <r>
    <s v="DBK-CMP-100477"/>
    <s v="DBK-CUS-500477"/>
    <x v="7"/>
    <x v="2"/>
    <x v="12"/>
    <n v="7"/>
    <x v="1"/>
    <d v="2024-08-20T00:00:00"/>
    <x v="1"/>
  </r>
  <r>
    <s v="DBK-CMP-100478"/>
    <s v="DBK-CUS-500478"/>
    <x v="3"/>
    <x v="1"/>
    <x v="19"/>
    <n v="49"/>
    <x v="2"/>
    <m/>
    <x v="0"/>
  </r>
  <r>
    <s v="DBK-CMP-100479"/>
    <s v="DBK-CUS-500479"/>
    <x v="2"/>
    <x v="2"/>
    <x v="269"/>
    <n v="68"/>
    <x v="1"/>
    <d v="2024-04-19T00:00:00"/>
    <x v="4"/>
  </r>
  <r>
    <s v="DBK-CMP-100480"/>
    <s v="DBK-CUS-500480"/>
    <x v="4"/>
    <x v="4"/>
    <x v="270"/>
    <n v="55"/>
    <x v="1"/>
    <d v="2024-11-10T00:00:00"/>
    <x v="4"/>
  </r>
  <r>
    <s v="DBK-CMP-100481"/>
    <s v="DBK-CUS-500481"/>
    <x v="5"/>
    <x v="4"/>
    <x v="214"/>
    <n v="7"/>
    <x v="1"/>
    <d v="2024-04-10T00:00:00"/>
    <x v="1"/>
  </r>
  <r>
    <s v="DBK-CMP-100482"/>
    <s v="DBK-CUS-500482"/>
    <x v="4"/>
    <x v="3"/>
    <x v="54"/>
    <n v="25"/>
    <x v="1"/>
    <d v="2024-05-20T00:00:00"/>
    <x v="2"/>
  </r>
  <r>
    <s v="DBK-CMP-100483"/>
    <s v="DBK-CUS-500483"/>
    <x v="3"/>
    <x v="3"/>
    <x v="271"/>
    <n v="70"/>
    <x v="0"/>
    <m/>
    <x v="0"/>
  </r>
  <r>
    <s v="DBK-CMP-100484"/>
    <s v="DBK-CUS-500484"/>
    <x v="0"/>
    <x v="4"/>
    <x v="6"/>
    <n v="6"/>
    <x v="1"/>
    <d v="2024-06-27T00:00:00"/>
    <x v="3"/>
  </r>
  <r>
    <s v="DBK-CMP-100485"/>
    <s v="DBK-CUS-500485"/>
    <x v="4"/>
    <x v="4"/>
    <x v="272"/>
    <n v="51"/>
    <x v="0"/>
    <m/>
    <x v="0"/>
  </r>
  <r>
    <s v="DBK-CMP-100486"/>
    <s v="DBK-CUS-500486"/>
    <x v="2"/>
    <x v="2"/>
    <x v="203"/>
    <n v="37"/>
    <x v="2"/>
    <m/>
    <x v="0"/>
  </r>
  <r>
    <s v="DBK-CMP-100487"/>
    <s v="DBK-CUS-500487"/>
    <x v="6"/>
    <x v="2"/>
    <x v="118"/>
    <n v="5"/>
    <x v="1"/>
    <d v="2024-09-24T00:00:00"/>
    <x v="3"/>
  </r>
  <r>
    <s v="DBK-CMP-100488"/>
    <s v="DBK-CUS-500488"/>
    <x v="3"/>
    <x v="4"/>
    <x v="109"/>
    <n v="72"/>
    <x v="0"/>
    <m/>
    <x v="0"/>
  </r>
  <r>
    <s v="DBK-CMP-100489"/>
    <s v="DBK-CUS-500489"/>
    <x v="5"/>
    <x v="1"/>
    <x v="70"/>
    <n v="4"/>
    <x v="1"/>
    <d v="2024-12-06T00:00:00"/>
    <x v="3"/>
  </r>
  <r>
    <s v="DBK-CMP-100490"/>
    <s v="DBK-CUS-500490"/>
    <x v="4"/>
    <x v="2"/>
    <x v="155"/>
    <n v="37"/>
    <x v="1"/>
    <d v="2024-12-03T00:00:00"/>
    <x v="3"/>
  </r>
  <r>
    <s v="DBK-CMP-100491"/>
    <s v="DBK-CUS-500491"/>
    <x v="7"/>
    <x v="2"/>
    <x v="273"/>
    <n v="21"/>
    <x v="0"/>
    <m/>
    <x v="0"/>
  </r>
  <r>
    <s v="DBK-CMP-100492"/>
    <s v="DBK-CUS-500492"/>
    <x v="6"/>
    <x v="0"/>
    <x v="89"/>
    <n v="4"/>
    <x v="1"/>
    <d v="2024-11-25T00:00:00"/>
    <x v="3"/>
  </r>
  <r>
    <s v="DBK-CMP-100493"/>
    <s v="DBK-CUS-500493"/>
    <x v="6"/>
    <x v="3"/>
    <x v="186"/>
    <n v="14"/>
    <x v="1"/>
    <d v="2024-11-03T00:00:00"/>
    <x v="5"/>
  </r>
  <r>
    <s v="DBK-CMP-100494"/>
    <s v="DBK-CUS-500494"/>
    <x v="3"/>
    <x v="0"/>
    <x v="274"/>
    <n v="26"/>
    <x v="1"/>
    <d v="2024-06-13T00:00:00"/>
    <x v="2"/>
  </r>
  <r>
    <s v="DBK-CMP-100495"/>
    <s v="DBK-CUS-500495"/>
    <x v="2"/>
    <x v="3"/>
    <x v="62"/>
    <n v="37"/>
    <x v="1"/>
    <d v="2024-01-25T00:00:00"/>
    <x v="2"/>
  </r>
  <r>
    <s v="DBK-CMP-100496"/>
    <s v="DBK-CUS-500496"/>
    <x v="6"/>
    <x v="4"/>
    <x v="123"/>
    <n v="9"/>
    <x v="1"/>
    <d v="2024-06-25T00:00:00"/>
    <x v="1"/>
  </r>
  <r>
    <s v="DBK-CMP-100497"/>
    <s v="DBK-CUS-500497"/>
    <x v="7"/>
    <x v="4"/>
    <x v="271"/>
    <n v="12"/>
    <x v="1"/>
    <d v="2024-09-03T00:00:00"/>
    <x v="1"/>
  </r>
  <r>
    <s v="DBK-CMP-100498"/>
    <s v="DBK-CUS-500498"/>
    <x v="2"/>
    <x v="2"/>
    <x v="275"/>
    <n v="34"/>
    <x v="2"/>
    <m/>
    <x v="0"/>
  </r>
  <r>
    <s v="DBK-CMP-100499"/>
    <s v="DBK-CUS-500499"/>
    <x v="3"/>
    <x v="1"/>
    <x v="191"/>
    <n v="39"/>
    <x v="1"/>
    <d v="2024-05-07T00:00:00"/>
    <x v="2"/>
  </r>
  <r>
    <s v="DBK-CMP-100500"/>
    <s v="DBK-CUS-500500"/>
    <x v="6"/>
    <x v="4"/>
    <x v="225"/>
    <n v="24"/>
    <x v="2"/>
    <m/>
    <x v="0"/>
  </r>
  <r>
    <s v="DBK-CMP-100501"/>
    <s v="DBK-CUS-500501"/>
    <x v="1"/>
    <x v="1"/>
    <x v="94"/>
    <n v="26"/>
    <x v="1"/>
    <d v="2024-07-05T00:00:00"/>
    <x v="2"/>
  </r>
  <r>
    <s v="DBK-CMP-100502"/>
    <s v="DBK-CUS-500502"/>
    <x v="0"/>
    <x v="0"/>
    <x v="106"/>
    <n v="28"/>
    <x v="1"/>
    <d v="2024-04-05T00:00:00"/>
    <x v="2"/>
  </r>
  <r>
    <s v="DBK-CMP-100503"/>
    <s v="DBK-CUS-500503"/>
    <x v="3"/>
    <x v="0"/>
    <x v="228"/>
    <n v="56"/>
    <x v="1"/>
    <d v="2024-03-14T00:00:00"/>
    <x v="3"/>
  </r>
  <r>
    <s v="DBK-CMP-100504"/>
    <s v="DBK-CUS-500504"/>
    <x v="7"/>
    <x v="1"/>
    <x v="269"/>
    <n v="5"/>
    <x v="1"/>
    <d v="2024-04-17T00:00:00"/>
    <x v="3"/>
  </r>
  <r>
    <s v="DBK-CMP-100505"/>
    <s v="DBK-CUS-500505"/>
    <x v="1"/>
    <x v="4"/>
    <x v="53"/>
    <n v="23"/>
    <x v="0"/>
    <m/>
    <x v="0"/>
  </r>
  <r>
    <s v="DBK-CMP-100506"/>
    <s v="DBK-CUS-500506"/>
    <x v="1"/>
    <x v="4"/>
    <x v="40"/>
    <n v="10"/>
    <x v="0"/>
    <m/>
    <x v="0"/>
  </r>
  <r>
    <s v="DBK-CMP-100507"/>
    <s v="DBK-CUS-500507"/>
    <x v="6"/>
    <x v="4"/>
    <x v="276"/>
    <n v="7"/>
    <x v="1"/>
    <d v="2024-06-20T00:00:00"/>
    <x v="3"/>
  </r>
  <r>
    <s v="DBK-CMP-100508"/>
    <s v="DBK-CUS-500508"/>
    <x v="2"/>
    <x v="4"/>
    <x v="103"/>
    <n v="43"/>
    <x v="2"/>
    <m/>
    <x v="0"/>
  </r>
  <r>
    <s v="DBK-CMP-100509"/>
    <s v="DBK-CUS-500509"/>
    <x v="4"/>
    <x v="4"/>
    <x v="27"/>
    <n v="6"/>
    <x v="1"/>
    <d v="2024-01-07T00:00:00"/>
    <x v="3"/>
  </r>
  <r>
    <s v="DBK-CMP-100510"/>
    <s v="DBK-CUS-500510"/>
    <x v="7"/>
    <x v="3"/>
    <x v="171"/>
    <n v="17"/>
    <x v="1"/>
    <d v="2024-03-10T00:00:00"/>
    <x v="5"/>
  </r>
  <r>
    <s v="DBK-CMP-100511"/>
    <s v="DBK-CUS-500511"/>
    <x v="5"/>
    <x v="1"/>
    <x v="191"/>
    <n v="10"/>
    <x v="1"/>
    <d v="2024-05-06T00:00:00"/>
    <x v="1"/>
  </r>
  <r>
    <s v="DBK-CMP-100512"/>
    <s v="DBK-CUS-500512"/>
    <x v="0"/>
    <x v="4"/>
    <x v="252"/>
    <n v="36"/>
    <x v="1"/>
    <d v="2024-01-24T00:00:00"/>
    <x v="3"/>
  </r>
  <r>
    <s v="DBK-CMP-100513"/>
    <s v="DBK-CUS-500513"/>
    <x v="1"/>
    <x v="0"/>
    <x v="148"/>
    <n v="36"/>
    <x v="2"/>
    <m/>
    <x v="0"/>
  </r>
  <r>
    <s v="DBK-CMP-100514"/>
    <s v="DBK-CUS-500514"/>
    <x v="5"/>
    <x v="1"/>
    <x v="255"/>
    <n v="7"/>
    <x v="0"/>
    <m/>
    <x v="0"/>
  </r>
  <r>
    <s v="DBK-CMP-100515"/>
    <s v="DBK-CUS-500515"/>
    <x v="1"/>
    <x v="0"/>
    <x v="91"/>
    <n v="15"/>
    <x v="1"/>
    <d v="2024-10-24T00:00:00"/>
    <x v="5"/>
  </r>
  <r>
    <s v="DBK-CMP-100516"/>
    <s v="DBK-CUS-500516"/>
    <x v="5"/>
    <x v="0"/>
    <x v="148"/>
    <n v="6"/>
    <x v="1"/>
    <d v="2024-03-07T00:00:00"/>
    <x v="3"/>
  </r>
  <r>
    <s v="DBK-CMP-100517"/>
    <s v="DBK-CUS-500517"/>
    <x v="3"/>
    <x v="3"/>
    <x v="277"/>
    <n v="28"/>
    <x v="1"/>
    <d v="2024-05-22T00:00:00"/>
    <x v="3"/>
  </r>
  <r>
    <s v="DBK-CMP-100518"/>
    <s v="DBK-CUS-500518"/>
    <x v="7"/>
    <x v="1"/>
    <x v="256"/>
    <n v="8"/>
    <x v="1"/>
    <d v="2024-12-18T00:00:00"/>
    <x v="3"/>
  </r>
  <r>
    <s v="DBK-CMP-100519"/>
    <s v="DBK-CUS-500519"/>
    <x v="6"/>
    <x v="1"/>
    <x v="227"/>
    <n v="12"/>
    <x v="1"/>
    <d v="2024-11-27T00:00:00"/>
    <x v="1"/>
  </r>
  <r>
    <s v="DBK-CMP-100520"/>
    <s v="DBK-CUS-500520"/>
    <x v="1"/>
    <x v="3"/>
    <x v="277"/>
    <n v="11"/>
    <x v="1"/>
    <d v="2024-05-21T00:00:00"/>
    <x v="1"/>
  </r>
  <r>
    <s v="DBK-CMP-100521"/>
    <s v="DBK-CUS-500521"/>
    <x v="4"/>
    <x v="0"/>
    <x v="113"/>
    <n v="70"/>
    <x v="2"/>
    <m/>
    <x v="0"/>
  </r>
  <r>
    <s v="DBK-CMP-100522"/>
    <s v="DBK-CUS-500522"/>
    <x v="6"/>
    <x v="1"/>
    <x v="21"/>
    <n v="2"/>
    <x v="0"/>
    <m/>
    <x v="0"/>
  </r>
  <r>
    <s v="DBK-CMP-100523"/>
    <s v="DBK-CUS-500523"/>
    <x v="0"/>
    <x v="0"/>
    <x v="207"/>
    <n v="39"/>
    <x v="0"/>
    <m/>
    <x v="0"/>
  </r>
  <r>
    <s v="DBK-CMP-100524"/>
    <s v="DBK-CUS-500524"/>
    <x v="2"/>
    <x v="3"/>
    <x v="3"/>
    <n v="37"/>
    <x v="1"/>
    <d v="2024-05-26T00:00:00"/>
    <x v="2"/>
  </r>
  <r>
    <s v="DBK-CMP-100525"/>
    <s v="DBK-CUS-500525"/>
    <x v="0"/>
    <x v="3"/>
    <x v="255"/>
    <n v="44"/>
    <x v="1"/>
    <d v="2024-12-02T00:00:00"/>
    <x v="2"/>
  </r>
  <r>
    <s v="DBK-CMP-100526"/>
    <s v="DBK-CUS-500526"/>
    <x v="6"/>
    <x v="2"/>
    <x v="163"/>
    <n v="10"/>
    <x v="1"/>
    <d v="2024-01-20T00:00:00"/>
    <x v="1"/>
  </r>
  <r>
    <s v="DBK-CMP-100527"/>
    <s v="DBK-CUS-500527"/>
    <x v="5"/>
    <x v="0"/>
    <x v="181"/>
    <n v="8"/>
    <x v="1"/>
    <d v="2024-09-23T00:00:00"/>
    <x v="1"/>
  </r>
  <r>
    <s v="DBK-CMP-100528"/>
    <s v="DBK-CUS-500528"/>
    <x v="2"/>
    <x v="1"/>
    <x v="221"/>
    <n v="84"/>
    <x v="1"/>
    <d v="2024-04-18T00:00:00"/>
    <x v="4"/>
  </r>
  <r>
    <s v="DBK-CMP-100529"/>
    <s v="DBK-CUS-500529"/>
    <x v="6"/>
    <x v="0"/>
    <x v="1"/>
    <n v="16"/>
    <x v="2"/>
    <m/>
    <x v="0"/>
  </r>
  <r>
    <s v="DBK-CMP-100530"/>
    <s v="DBK-CUS-500530"/>
    <x v="4"/>
    <x v="0"/>
    <x v="278"/>
    <n v="68"/>
    <x v="1"/>
    <d v="2024-05-02T00:00:00"/>
    <x v="4"/>
  </r>
  <r>
    <s v="DBK-CMP-100531"/>
    <s v="DBK-CUS-500531"/>
    <x v="3"/>
    <x v="2"/>
    <x v="36"/>
    <n v="48"/>
    <x v="1"/>
    <d v="2024-06-23T00:00:00"/>
    <x v="2"/>
  </r>
  <r>
    <s v="DBK-CMP-100532"/>
    <s v="DBK-CUS-500532"/>
    <x v="2"/>
    <x v="3"/>
    <x v="218"/>
    <n v="76"/>
    <x v="1"/>
    <d v="2024-10-16T00:00:00"/>
    <x v="3"/>
  </r>
  <r>
    <s v="DBK-CMP-100533"/>
    <s v="DBK-CUS-500533"/>
    <x v="0"/>
    <x v="0"/>
    <x v="204"/>
    <n v="18"/>
    <x v="0"/>
    <m/>
    <x v="0"/>
  </r>
  <r>
    <s v="DBK-CMP-100534"/>
    <s v="DBK-CUS-500534"/>
    <x v="2"/>
    <x v="2"/>
    <x v="63"/>
    <n v="49"/>
    <x v="1"/>
    <d v="2024-02-17T00:00:00"/>
    <x v="4"/>
  </r>
  <r>
    <s v="DBK-CMP-100535"/>
    <s v="DBK-CUS-500535"/>
    <x v="6"/>
    <x v="4"/>
    <x v="7"/>
    <n v="19"/>
    <x v="1"/>
    <d v="2024-11-26T00:00:00"/>
    <x v="5"/>
  </r>
  <r>
    <s v="DBK-CMP-100536"/>
    <s v="DBK-CUS-500536"/>
    <x v="2"/>
    <x v="2"/>
    <x v="279"/>
    <n v="79"/>
    <x v="1"/>
    <d v="2024-06-17T00:00:00"/>
    <x v="4"/>
  </r>
  <r>
    <s v="DBK-CMP-100537"/>
    <s v="DBK-CUS-500537"/>
    <x v="5"/>
    <x v="0"/>
    <x v="254"/>
    <n v="9"/>
    <x v="1"/>
    <d v="2024-11-29T00:00:00"/>
    <x v="3"/>
  </r>
  <r>
    <s v="DBK-CMP-100538"/>
    <s v="DBK-CUS-500538"/>
    <x v="5"/>
    <x v="4"/>
    <x v="49"/>
    <n v="6"/>
    <x v="1"/>
    <d v="2024-07-28T00:00:00"/>
    <x v="3"/>
  </r>
  <r>
    <s v="DBK-CMP-100539"/>
    <s v="DBK-CUS-500539"/>
    <x v="1"/>
    <x v="1"/>
    <x v="66"/>
    <n v="8"/>
    <x v="1"/>
    <d v="2024-05-14T00:00:00"/>
    <x v="1"/>
  </r>
  <r>
    <s v="DBK-CMP-100540"/>
    <s v="DBK-CUS-500540"/>
    <x v="2"/>
    <x v="3"/>
    <x v="280"/>
    <n v="89"/>
    <x v="0"/>
    <m/>
    <x v="0"/>
  </r>
  <r>
    <s v="DBK-CMP-100541"/>
    <s v="DBK-CUS-500541"/>
    <x v="3"/>
    <x v="0"/>
    <x v="69"/>
    <n v="15"/>
    <x v="2"/>
    <m/>
    <x v="0"/>
  </r>
  <r>
    <s v="DBK-CMP-100542"/>
    <s v="DBK-CUS-500542"/>
    <x v="2"/>
    <x v="1"/>
    <x v="119"/>
    <n v="30"/>
    <x v="0"/>
    <m/>
    <x v="0"/>
  </r>
  <r>
    <s v="DBK-CMP-100543"/>
    <s v="DBK-CUS-500543"/>
    <x v="1"/>
    <x v="3"/>
    <x v="186"/>
    <n v="32"/>
    <x v="2"/>
    <m/>
    <x v="0"/>
  </r>
  <r>
    <s v="DBK-CMP-100544"/>
    <s v="DBK-CUS-500544"/>
    <x v="0"/>
    <x v="1"/>
    <x v="281"/>
    <n v="43"/>
    <x v="1"/>
    <d v="2024-06-02T00:00:00"/>
    <x v="3"/>
  </r>
  <r>
    <s v="DBK-CMP-100545"/>
    <s v="DBK-CUS-500545"/>
    <x v="0"/>
    <x v="3"/>
    <x v="148"/>
    <n v="40"/>
    <x v="0"/>
    <m/>
    <x v="0"/>
  </r>
  <r>
    <s v="DBK-CMP-100546"/>
    <s v="DBK-CUS-500546"/>
    <x v="6"/>
    <x v="0"/>
    <x v="106"/>
    <n v="7"/>
    <x v="1"/>
    <d v="2024-04-04T00:00:00"/>
    <x v="1"/>
  </r>
  <r>
    <s v="DBK-CMP-100547"/>
    <s v="DBK-CUS-500547"/>
    <x v="3"/>
    <x v="1"/>
    <x v="146"/>
    <n v="43"/>
    <x v="0"/>
    <m/>
    <x v="0"/>
  </r>
  <r>
    <s v="DBK-CMP-100548"/>
    <s v="DBK-CUS-500548"/>
    <x v="5"/>
    <x v="3"/>
    <x v="43"/>
    <n v="5"/>
    <x v="1"/>
    <d v="2024-04-03T00:00:00"/>
    <x v="3"/>
  </r>
  <r>
    <s v="DBK-CMP-100549"/>
    <s v="DBK-CUS-500549"/>
    <x v="3"/>
    <x v="2"/>
    <x v="110"/>
    <n v="22"/>
    <x v="1"/>
    <d v="2024-09-12T00:00:00"/>
    <x v="5"/>
  </r>
  <r>
    <s v="DBK-CMP-100550"/>
    <s v="DBK-CUS-500550"/>
    <x v="2"/>
    <x v="0"/>
    <x v="282"/>
    <n v="33"/>
    <x v="1"/>
    <d v="2024-11-29T00:00:00"/>
    <x v="2"/>
  </r>
  <r>
    <s v="DBK-CMP-100551"/>
    <s v="DBK-CUS-500551"/>
    <x v="4"/>
    <x v="1"/>
    <x v="186"/>
    <n v="48"/>
    <x v="1"/>
    <d v="2024-11-05T00:00:00"/>
    <x v="2"/>
  </r>
  <r>
    <s v="DBK-CMP-100552"/>
    <s v="DBK-CUS-500552"/>
    <x v="6"/>
    <x v="2"/>
    <x v="123"/>
    <n v="14"/>
    <x v="2"/>
    <m/>
    <x v="0"/>
  </r>
  <r>
    <s v="DBK-CMP-100553"/>
    <s v="DBK-CUS-500553"/>
    <x v="4"/>
    <x v="4"/>
    <x v="24"/>
    <n v="72"/>
    <x v="2"/>
    <m/>
    <x v="0"/>
  </r>
  <r>
    <s v="DBK-CMP-100554"/>
    <s v="DBK-CUS-500554"/>
    <x v="0"/>
    <x v="1"/>
    <x v="206"/>
    <n v="5"/>
    <x v="1"/>
    <d v="2024-12-03T00:00:00"/>
    <x v="3"/>
  </r>
  <r>
    <s v="DBK-CMP-100555"/>
    <s v="DBK-CUS-500555"/>
    <x v="3"/>
    <x v="2"/>
    <x v="142"/>
    <n v="30"/>
    <x v="0"/>
    <m/>
    <x v="0"/>
  </r>
  <r>
    <s v="DBK-CMP-100556"/>
    <s v="DBK-CUS-500556"/>
    <x v="3"/>
    <x v="0"/>
    <x v="89"/>
    <n v="71"/>
    <x v="1"/>
    <d v="2024-11-27T00:00:00"/>
    <x v="4"/>
  </r>
  <r>
    <s v="DBK-CMP-100557"/>
    <s v="DBK-CUS-500557"/>
    <x v="0"/>
    <x v="2"/>
    <x v="283"/>
    <n v="27"/>
    <x v="1"/>
    <d v="2024-02-09T00:00:00"/>
    <x v="2"/>
  </r>
  <r>
    <s v="DBK-CMP-100558"/>
    <s v="DBK-CUS-500558"/>
    <x v="5"/>
    <x v="3"/>
    <x v="22"/>
    <n v="8"/>
    <x v="0"/>
    <m/>
    <x v="0"/>
  </r>
  <r>
    <s v="DBK-CMP-100559"/>
    <s v="DBK-CUS-500559"/>
    <x v="4"/>
    <x v="1"/>
    <x v="284"/>
    <n v="44"/>
    <x v="1"/>
    <d v="2024-01-26T00:00:00"/>
    <x v="2"/>
  </r>
  <r>
    <s v="DBK-CMP-100560"/>
    <s v="DBK-CUS-500560"/>
    <x v="0"/>
    <x v="2"/>
    <x v="285"/>
    <n v="32"/>
    <x v="0"/>
    <m/>
    <x v="0"/>
  </r>
  <r>
    <s v="DBK-CMP-100561"/>
    <s v="DBK-CUS-500561"/>
    <x v="4"/>
    <x v="3"/>
    <x v="229"/>
    <n v="12"/>
    <x v="1"/>
    <d v="2024-09-22T00:00:00"/>
    <x v="1"/>
  </r>
  <r>
    <s v="DBK-CMP-100562"/>
    <s v="DBK-CUS-500562"/>
    <x v="1"/>
    <x v="2"/>
    <x v="0"/>
    <n v="6"/>
    <x v="0"/>
    <m/>
    <x v="0"/>
  </r>
  <r>
    <s v="DBK-CMP-100563"/>
    <s v="DBK-CUS-500563"/>
    <x v="6"/>
    <x v="3"/>
    <x v="50"/>
    <n v="16"/>
    <x v="1"/>
    <d v="2024-08-11T00:00:00"/>
    <x v="3"/>
  </r>
  <r>
    <s v="DBK-CMP-100564"/>
    <s v="DBK-CUS-500564"/>
    <x v="5"/>
    <x v="0"/>
    <x v="185"/>
    <n v="4"/>
    <x v="2"/>
    <m/>
    <x v="0"/>
  </r>
  <r>
    <s v="DBK-CMP-100565"/>
    <s v="DBK-CUS-500565"/>
    <x v="2"/>
    <x v="4"/>
    <x v="89"/>
    <n v="77"/>
    <x v="0"/>
    <m/>
    <x v="0"/>
  </r>
  <r>
    <s v="DBK-CMP-100566"/>
    <s v="DBK-CUS-500566"/>
    <x v="7"/>
    <x v="2"/>
    <x v="133"/>
    <n v="8"/>
    <x v="1"/>
    <d v="2024-09-10T00:00:00"/>
    <x v="3"/>
  </r>
  <r>
    <s v="DBK-CMP-100567"/>
    <s v="DBK-CUS-500567"/>
    <x v="3"/>
    <x v="2"/>
    <x v="286"/>
    <n v="66"/>
    <x v="1"/>
    <d v="2024-06-06T00:00:00"/>
    <x v="3"/>
  </r>
  <r>
    <s v="DBK-CMP-100568"/>
    <s v="DBK-CUS-500568"/>
    <x v="2"/>
    <x v="2"/>
    <x v="65"/>
    <n v="74"/>
    <x v="1"/>
    <d v="2024-03-25T00:00:00"/>
    <x v="4"/>
  </r>
  <r>
    <s v="DBK-CMP-100569"/>
    <s v="DBK-CUS-500569"/>
    <x v="3"/>
    <x v="0"/>
    <x v="202"/>
    <n v="61"/>
    <x v="0"/>
    <m/>
    <x v="0"/>
  </r>
  <r>
    <s v="DBK-CMP-100570"/>
    <s v="DBK-CUS-500570"/>
    <x v="1"/>
    <x v="4"/>
    <x v="287"/>
    <n v="34"/>
    <x v="2"/>
    <m/>
    <x v="0"/>
  </r>
  <r>
    <s v="DBK-CMP-100571"/>
    <s v="DBK-CUS-500571"/>
    <x v="1"/>
    <x v="1"/>
    <x v="131"/>
    <n v="25"/>
    <x v="1"/>
    <d v="2024-06-16T00:00:00"/>
    <x v="2"/>
  </r>
  <r>
    <s v="DBK-CMP-100572"/>
    <s v="DBK-CUS-500572"/>
    <x v="1"/>
    <x v="1"/>
    <x v="78"/>
    <n v="25"/>
    <x v="1"/>
    <d v="2024-06-25T00:00:00"/>
    <x v="2"/>
  </r>
  <r>
    <s v="DBK-CMP-100573"/>
    <s v="DBK-CUS-500573"/>
    <x v="7"/>
    <x v="2"/>
    <x v="85"/>
    <n v="17"/>
    <x v="1"/>
    <d v="2024-10-04T00:00:00"/>
    <x v="5"/>
  </r>
  <r>
    <s v="DBK-CMP-100574"/>
    <s v="DBK-CUS-500574"/>
    <x v="5"/>
    <x v="1"/>
    <x v="288"/>
    <n v="10"/>
    <x v="1"/>
    <d v="2024-04-02T00:00:00"/>
    <x v="1"/>
  </r>
  <r>
    <s v="DBK-CMP-100575"/>
    <s v="DBK-CUS-500575"/>
    <x v="1"/>
    <x v="2"/>
    <x v="234"/>
    <n v="31"/>
    <x v="1"/>
    <d v="2024-11-06T00:00:00"/>
    <x v="2"/>
  </r>
  <r>
    <s v="DBK-CMP-100576"/>
    <s v="DBK-CUS-500576"/>
    <x v="3"/>
    <x v="1"/>
    <x v="109"/>
    <n v="34"/>
    <x v="1"/>
    <d v="2024-10-19T00:00:00"/>
    <x v="2"/>
  </r>
  <r>
    <s v="DBK-CMP-100577"/>
    <s v="DBK-CUS-500577"/>
    <x v="7"/>
    <x v="4"/>
    <x v="67"/>
    <n v="23"/>
    <x v="2"/>
    <m/>
    <x v="0"/>
  </r>
  <r>
    <s v="DBK-CMP-100578"/>
    <s v="DBK-CUS-500578"/>
    <x v="3"/>
    <x v="3"/>
    <x v="4"/>
    <n v="31"/>
    <x v="2"/>
    <m/>
    <x v="0"/>
  </r>
  <r>
    <s v="DBK-CMP-100579"/>
    <s v="DBK-CUS-500579"/>
    <x v="0"/>
    <x v="4"/>
    <x v="235"/>
    <n v="47"/>
    <x v="0"/>
    <m/>
    <x v="0"/>
  </r>
  <r>
    <s v="DBK-CMP-100580"/>
    <s v="DBK-CUS-500580"/>
    <x v="3"/>
    <x v="0"/>
    <x v="167"/>
    <n v="24"/>
    <x v="1"/>
    <d v="2024-01-23T00:00:00"/>
    <x v="5"/>
  </r>
  <r>
    <s v="DBK-CMP-100581"/>
    <s v="DBK-CUS-500581"/>
    <x v="1"/>
    <x v="3"/>
    <x v="246"/>
    <n v="7"/>
    <x v="1"/>
    <d v="2024-09-04T00:00:00"/>
    <x v="3"/>
  </r>
  <r>
    <s v="DBK-CMP-100582"/>
    <s v="DBK-CUS-500582"/>
    <x v="1"/>
    <x v="3"/>
    <x v="56"/>
    <n v="19"/>
    <x v="0"/>
    <m/>
    <x v="0"/>
  </r>
  <r>
    <s v="DBK-CMP-100583"/>
    <s v="DBK-CUS-500583"/>
    <x v="6"/>
    <x v="4"/>
    <x v="17"/>
    <n v="8"/>
    <x v="0"/>
    <m/>
    <x v="0"/>
  </r>
  <r>
    <s v="DBK-CMP-100584"/>
    <s v="DBK-CUS-500584"/>
    <x v="4"/>
    <x v="2"/>
    <x v="174"/>
    <n v="37"/>
    <x v="1"/>
    <d v="2024-10-18T00:00:00"/>
    <x v="2"/>
  </r>
  <r>
    <s v="DBK-CMP-100585"/>
    <s v="DBK-CUS-500585"/>
    <x v="0"/>
    <x v="0"/>
    <x v="86"/>
    <n v="48"/>
    <x v="1"/>
    <d v="2024-04-13T00:00:00"/>
    <x v="2"/>
  </r>
  <r>
    <s v="DBK-CMP-100586"/>
    <s v="DBK-CUS-500586"/>
    <x v="1"/>
    <x v="2"/>
    <x v="114"/>
    <n v="14"/>
    <x v="1"/>
    <d v="2024-03-03T00:00:00"/>
    <x v="5"/>
  </r>
  <r>
    <s v="DBK-CMP-100587"/>
    <s v="DBK-CUS-500587"/>
    <x v="2"/>
    <x v="1"/>
    <x v="29"/>
    <n v="92"/>
    <x v="1"/>
    <d v="2024-03-08T00:00:00"/>
    <x v="4"/>
  </r>
  <r>
    <s v="DBK-CMP-100588"/>
    <s v="DBK-CUS-500588"/>
    <x v="2"/>
    <x v="3"/>
    <x v="231"/>
    <n v="71"/>
    <x v="0"/>
    <m/>
    <x v="0"/>
  </r>
  <r>
    <s v="DBK-CMP-100589"/>
    <s v="DBK-CUS-500589"/>
    <x v="3"/>
    <x v="4"/>
    <x v="289"/>
    <n v="18"/>
    <x v="2"/>
    <m/>
    <x v="0"/>
  </r>
  <r>
    <s v="DBK-CMP-100590"/>
    <s v="DBK-CUS-500590"/>
    <x v="5"/>
    <x v="0"/>
    <x v="132"/>
    <n v="10"/>
    <x v="1"/>
    <d v="2024-11-22T00:00:00"/>
    <x v="1"/>
  </r>
  <r>
    <s v="DBK-CMP-100591"/>
    <s v="DBK-CUS-500591"/>
    <x v="2"/>
    <x v="3"/>
    <x v="251"/>
    <n v="48"/>
    <x v="0"/>
    <m/>
    <x v="0"/>
  </r>
  <r>
    <s v="DBK-CMP-100592"/>
    <s v="DBK-CUS-500592"/>
    <x v="4"/>
    <x v="1"/>
    <x v="173"/>
    <n v="12"/>
    <x v="1"/>
    <d v="2024-10-02T00:00:00"/>
    <x v="3"/>
  </r>
  <r>
    <s v="DBK-CMP-100593"/>
    <s v="DBK-CUS-500593"/>
    <x v="5"/>
    <x v="0"/>
    <x v="14"/>
    <n v="5"/>
    <x v="2"/>
    <m/>
    <x v="0"/>
  </r>
  <r>
    <s v="DBK-CMP-100594"/>
    <s v="DBK-CUS-500594"/>
    <x v="1"/>
    <x v="2"/>
    <x v="202"/>
    <n v="22"/>
    <x v="1"/>
    <d v="2024-03-20T00:00:00"/>
    <x v="5"/>
  </r>
  <r>
    <s v="DBK-CMP-100595"/>
    <s v="DBK-CUS-500595"/>
    <x v="1"/>
    <x v="0"/>
    <x v="214"/>
    <n v="17"/>
    <x v="1"/>
    <d v="2024-04-10T00:00:00"/>
    <x v="5"/>
  </r>
  <r>
    <s v="DBK-CMP-100596"/>
    <s v="DBK-CUS-500596"/>
    <x v="0"/>
    <x v="4"/>
    <x v="188"/>
    <n v="30"/>
    <x v="0"/>
    <m/>
    <x v="0"/>
  </r>
  <r>
    <s v="DBK-CMP-100597"/>
    <s v="DBK-CUS-500597"/>
    <x v="4"/>
    <x v="1"/>
    <x v="30"/>
    <n v="45"/>
    <x v="1"/>
    <d v="2024-08-14T00:00:00"/>
    <x v="3"/>
  </r>
  <r>
    <s v="DBK-CMP-100598"/>
    <s v="DBK-CUS-500598"/>
    <x v="7"/>
    <x v="2"/>
    <x v="238"/>
    <n v="19"/>
    <x v="1"/>
    <d v="2024-04-09T00:00:00"/>
    <x v="5"/>
  </r>
  <r>
    <s v="DBK-CMP-100599"/>
    <s v="DBK-CUS-500599"/>
    <x v="5"/>
    <x v="3"/>
    <x v="47"/>
    <n v="5"/>
    <x v="1"/>
    <d v="2024-11-04T00:00:00"/>
    <x v="3"/>
  </r>
  <r>
    <s v="DBK-CMP-100600"/>
    <s v="DBK-CUS-500600"/>
    <x v="4"/>
    <x v="3"/>
    <x v="25"/>
    <n v="15"/>
    <x v="1"/>
    <d v="2024-01-21T00:00:00"/>
    <x v="5"/>
  </r>
  <r>
    <s v="DBK-CMP-100601"/>
    <s v="DBK-CUS-500601"/>
    <x v="1"/>
    <x v="2"/>
    <x v="84"/>
    <n v="30"/>
    <x v="2"/>
    <m/>
    <x v="0"/>
  </r>
  <r>
    <s v="DBK-CMP-100602"/>
    <s v="DBK-CUS-500602"/>
    <x v="5"/>
    <x v="4"/>
    <x v="290"/>
    <n v="3"/>
    <x v="1"/>
    <d v="2024-09-21T00:00:00"/>
    <x v="3"/>
  </r>
  <r>
    <s v="DBK-CMP-100603"/>
    <s v="DBK-CUS-500603"/>
    <x v="6"/>
    <x v="3"/>
    <x v="3"/>
    <n v="23"/>
    <x v="1"/>
    <d v="2024-05-25T00:00:00"/>
    <x v="5"/>
  </r>
  <r>
    <s v="DBK-CMP-100604"/>
    <s v="DBK-CUS-500604"/>
    <x v="6"/>
    <x v="2"/>
    <x v="246"/>
    <n v="8"/>
    <x v="1"/>
    <d v="2024-09-04T00:00:00"/>
    <x v="1"/>
  </r>
  <r>
    <s v="DBK-CMP-100605"/>
    <s v="DBK-CUS-500605"/>
    <x v="4"/>
    <x v="1"/>
    <x v="289"/>
    <n v="47"/>
    <x v="1"/>
    <d v="2024-01-29T00:00:00"/>
    <x v="2"/>
  </r>
  <r>
    <s v="DBK-CMP-100606"/>
    <s v="DBK-CUS-500606"/>
    <x v="6"/>
    <x v="3"/>
    <x v="63"/>
    <n v="24"/>
    <x v="1"/>
    <d v="2024-02-16T00:00:00"/>
    <x v="5"/>
  </r>
  <r>
    <s v="DBK-CMP-100607"/>
    <s v="DBK-CUS-500607"/>
    <x v="6"/>
    <x v="2"/>
    <x v="134"/>
    <n v="4"/>
    <x v="1"/>
    <d v="2024-11-09T00:00:00"/>
    <x v="3"/>
  </r>
  <r>
    <s v="DBK-CMP-100608"/>
    <s v="DBK-CUS-500608"/>
    <x v="2"/>
    <x v="0"/>
    <x v="156"/>
    <n v="61"/>
    <x v="1"/>
    <d v="2024-07-14T00:00:00"/>
    <x v="4"/>
  </r>
  <r>
    <s v="DBK-CMP-100609"/>
    <s v="DBK-CUS-500609"/>
    <x v="1"/>
    <x v="4"/>
    <x v="140"/>
    <n v="5"/>
    <x v="1"/>
    <d v="2024-05-20T00:00:00"/>
    <x v="3"/>
  </r>
  <r>
    <s v="DBK-CMP-100610"/>
    <s v="DBK-CUS-500610"/>
    <x v="0"/>
    <x v="2"/>
    <x v="62"/>
    <n v="38"/>
    <x v="1"/>
    <d v="2024-01-25T00:00:00"/>
    <x v="3"/>
  </r>
  <r>
    <s v="DBK-CMP-100611"/>
    <s v="DBK-CUS-500611"/>
    <x v="0"/>
    <x v="3"/>
    <x v="267"/>
    <n v="45"/>
    <x v="1"/>
    <d v="2024-03-10T00:00:00"/>
    <x v="2"/>
  </r>
  <r>
    <s v="DBK-CMP-100612"/>
    <s v="DBK-CUS-500612"/>
    <x v="2"/>
    <x v="4"/>
    <x v="291"/>
    <n v="90"/>
    <x v="2"/>
    <m/>
    <x v="0"/>
  </r>
  <r>
    <s v="DBK-CMP-100613"/>
    <s v="DBK-CUS-500613"/>
    <x v="5"/>
    <x v="4"/>
    <x v="132"/>
    <n v="11"/>
    <x v="1"/>
    <d v="2024-11-22T00:00:00"/>
    <x v="1"/>
  </r>
  <r>
    <s v="DBK-CMP-100614"/>
    <s v="DBK-CUS-500614"/>
    <x v="6"/>
    <x v="3"/>
    <x v="135"/>
    <n v="18"/>
    <x v="2"/>
    <m/>
    <x v="0"/>
  </r>
  <r>
    <s v="DBK-CMP-100615"/>
    <s v="DBK-CUS-500615"/>
    <x v="4"/>
    <x v="0"/>
    <x v="132"/>
    <n v="36"/>
    <x v="1"/>
    <d v="2024-11-23T00:00:00"/>
    <x v="2"/>
  </r>
  <r>
    <s v="DBK-CMP-100616"/>
    <s v="DBK-CUS-500616"/>
    <x v="6"/>
    <x v="0"/>
    <x v="225"/>
    <n v="14"/>
    <x v="1"/>
    <d v="2024-08-12T00:00:00"/>
    <x v="5"/>
  </r>
  <r>
    <s v="DBK-CMP-100617"/>
    <s v="DBK-CUS-500617"/>
    <x v="7"/>
    <x v="3"/>
    <x v="292"/>
    <n v="18"/>
    <x v="0"/>
    <m/>
    <x v="0"/>
  </r>
  <r>
    <s v="DBK-CMP-100618"/>
    <s v="DBK-CUS-500618"/>
    <x v="3"/>
    <x v="0"/>
    <x v="62"/>
    <n v="65"/>
    <x v="1"/>
    <d v="2024-01-26T00:00:00"/>
    <x v="3"/>
  </r>
  <r>
    <s v="DBK-CMP-100619"/>
    <s v="DBK-CUS-500619"/>
    <x v="2"/>
    <x v="0"/>
    <x v="293"/>
    <n v="28"/>
    <x v="1"/>
    <d v="2024-10-16T00:00:00"/>
    <x v="2"/>
  </r>
  <r>
    <s v="DBK-CMP-100620"/>
    <s v="DBK-CUS-500620"/>
    <x v="3"/>
    <x v="4"/>
    <x v="150"/>
    <n v="48"/>
    <x v="2"/>
    <m/>
    <x v="0"/>
  </r>
  <r>
    <s v="DBK-CMP-100621"/>
    <s v="DBK-CUS-500621"/>
    <x v="1"/>
    <x v="3"/>
    <x v="142"/>
    <n v="16"/>
    <x v="0"/>
    <m/>
    <x v="0"/>
  </r>
  <r>
    <s v="DBK-CMP-100622"/>
    <s v="DBK-CUS-500622"/>
    <x v="3"/>
    <x v="0"/>
    <x v="44"/>
    <n v="43"/>
    <x v="0"/>
    <m/>
    <x v="0"/>
  </r>
  <r>
    <s v="DBK-CMP-100623"/>
    <s v="DBK-CUS-500623"/>
    <x v="0"/>
    <x v="0"/>
    <x v="155"/>
    <n v="38"/>
    <x v="1"/>
    <d v="2024-12-03T00:00:00"/>
    <x v="2"/>
  </r>
  <r>
    <s v="DBK-CMP-100624"/>
    <s v="DBK-CUS-500624"/>
    <x v="4"/>
    <x v="1"/>
    <x v="31"/>
    <n v="23"/>
    <x v="1"/>
    <d v="2024-03-28T00:00:00"/>
    <x v="5"/>
  </r>
  <r>
    <s v="DBK-CMP-100625"/>
    <s v="DBK-CUS-500625"/>
    <x v="2"/>
    <x v="4"/>
    <x v="93"/>
    <n v="55"/>
    <x v="1"/>
    <d v="2024-09-27T00:00:00"/>
    <x v="4"/>
  </r>
  <r>
    <s v="DBK-CMP-100626"/>
    <s v="DBK-CUS-500626"/>
    <x v="6"/>
    <x v="0"/>
    <x v="8"/>
    <n v="22"/>
    <x v="2"/>
    <m/>
    <x v="0"/>
  </r>
  <r>
    <s v="DBK-CMP-100627"/>
    <s v="DBK-CUS-500627"/>
    <x v="3"/>
    <x v="1"/>
    <x v="231"/>
    <n v="31"/>
    <x v="1"/>
    <d v="2024-01-17T00:00:00"/>
    <x v="2"/>
  </r>
  <r>
    <s v="DBK-CMP-100628"/>
    <s v="DBK-CUS-500628"/>
    <x v="6"/>
    <x v="4"/>
    <x v="273"/>
    <n v="23"/>
    <x v="0"/>
    <m/>
    <x v="0"/>
  </r>
  <r>
    <s v="DBK-CMP-100629"/>
    <s v="DBK-CUS-500629"/>
    <x v="2"/>
    <x v="0"/>
    <x v="100"/>
    <n v="36"/>
    <x v="0"/>
    <m/>
    <x v="0"/>
  </r>
  <r>
    <s v="DBK-CMP-100630"/>
    <s v="DBK-CUS-500630"/>
    <x v="5"/>
    <x v="3"/>
    <x v="294"/>
    <n v="10"/>
    <x v="0"/>
    <m/>
    <x v="0"/>
  </r>
  <r>
    <s v="DBK-CMP-100631"/>
    <s v="DBK-CUS-500631"/>
    <x v="7"/>
    <x v="0"/>
    <x v="104"/>
    <n v="18"/>
    <x v="1"/>
    <d v="2024-03-11T00:00:00"/>
    <x v="5"/>
  </r>
  <r>
    <s v="DBK-CMP-100632"/>
    <s v="DBK-CUS-500632"/>
    <x v="3"/>
    <x v="1"/>
    <x v="187"/>
    <n v="11"/>
    <x v="1"/>
    <d v="2024-01-08T00:00:00"/>
    <x v="1"/>
  </r>
  <r>
    <s v="DBK-CMP-100633"/>
    <s v="DBK-CUS-500633"/>
    <x v="5"/>
    <x v="4"/>
    <x v="295"/>
    <n v="10"/>
    <x v="1"/>
    <d v="2024-01-30T00:00:00"/>
    <x v="1"/>
  </r>
  <r>
    <s v="DBK-CMP-100634"/>
    <s v="DBK-CUS-500634"/>
    <x v="6"/>
    <x v="1"/>
    <x v="110"/>
    <n v="17"/>
    <x v="1"/>
    <d v="2024-09-12T00:00:00"/>
    <x v="5"/>
  </r>
  <r>
    <s v="DBK-CMP-100635"/>
    <s v="DBK-CUS-500635"/>
    <x v="0"/>
    <x v="0"/>
    <x v="90"/>
    <n v="25"/>
    <x v="1"/>
    <d v="2024-05-05T00:00:00"/>
    <x v="2"/>
  </r>
  <r>
    <s v="DBK-CMP-100636"/>
    <s v="DBK-CUS-500636"/>
    <x v="2"/>
    <x v="2"/>
    <x v="187"/>
    <n v="43"/>
    <x v="1"/>
    <d v="2024-01-09T00:00:00"/>
    <x v="3"/>
  </r>
  <r>
    <s v="DBK-CMP-100637"/>
    <s v="DBK-CUS-500637"/>
    <x v="7"/>
    <x v="0"/>
    <x v="14"/>
    <n v="18"/>
    <x v="2"/>
    <m/>
    <x v="0"/>
  </r>
  <r>
    <s v="DBK-CMP-100638"/>
    <s v="DBK-CUS-500638"/>
    <x v="4"/>
    <x v="3"/>
    <x v="109"/>
    <n v="47"/>
    <x v="2"/>
    <m/>
    <x v="0"/>
  </r>
  <r>
    <s v="DBK-CMP-100639"/>
    <s v="DBK-CUS-500639"/>
    <x v="0"/>
    <x v="2"/>
    <x v="33"/>
    <n v="32"/>
    <x v="1"/>
    <d v="2024-01-14T00:00:00"/>
    <x v="2"/>
  </r>
  <r>
    <s v="DBK-CMP-100640"/>
    <s v="DBK-CUS-500640"/>
    <x v="4"/>
    <x v="3"/>
    <x v="149"/>
    <n v="20"/>
    <x v="0"/>
    <m/>
    <x v="0"/>
  </r>
  <r>
    <s v="DBK-CMP-100641"/>
    <s v="DBK-CUS-500641"/>
    <x v="4"/>
    <x v="1"/>
    <x v="296"/>
    <n v="38"/>
    <x v="1"/>
    <d v="2024-05-24T00:00:00"/>
    <x v="2"/>
  </r>
  <r>
    <s v="DBK-CMP-100642"/>
    <s v="DBK-CUS-500642"/>
    <x v="6"/>
    <x v="4"/>
    <x v="297"/>
    <n v="16"/>
    <x v="0"/>
    <m/>
    <x v="0"/>
  </r>
  <r>
    <s v="DBK-CMP-100643"/>
    <s v="DBK-CUS-500643"/>
    <x v="5"/>
    <x v="1"/>
    <x v="53"/>
    <n v="8"/>
    <x v="1"/>
    <d v="2024-12-15T00:00:00"/>
    <x v="1"/>
  </r>
  <r>
    <s v="DBK-CMP-100644"/>
    <s v="DBK-CUS-500644"/>
    <x v="4"/>
    <x v="1"/>
    <x v="59"/>
    <n v="33"/>
    <x v="1"/>
    <d v="2024-04-19T00:00:00"/>
    <x v="2"/>
  </r>
  <r>
    <s v="DBK-CMP-100645"/>
    <s v="DBK-CUS-500645"/>
    <x v="6"/>
    <x v="2"/>
    <x v="298"/>
    <n v="24"/>
    <x v="0"/>
    <m/>
    <x v="0"/>
  </r>
  <r>
    <s v="DBK-CMP-100646"/>
    <s v="DBK-CUS-500646"/>
    <x v="3"/>
    <x v="1"/>
    <x v="40"/>
    <n v="24"/>
    <x v="0"/>
    <m/>
    <x v="0"/>
  </r>
  <r>
    <s v="DBK-CMP-100647"/>
    <s v="DBK-CUS-500647"/>
    <x v="6"/>
    <x v="2"/>
    <x v="56"/>
    <n v="9"/>
    <x v="2"/>
    <m/>
    <x v="0"/>
  </r>
  <r>
    <s v="DBK-CMP-100648"/>
    <s v="DBK-CUS-500648"/>
    <x v="4"/>
    <x v="3"/>
    <x v="176"/>
    <n v="10"/>
    <x v="1"/>
    <d v="2024-08-16T00:00:00"/>
    <x v="1"/>
  </r>
  <r>
    <s v="DBK-CMP-100649"/>
    <s v="DBK-CUS-500649"/>
    <x v="7"/>
    <x v="3"/>
    <x v="41"/>
    <n v="12"/>
    <x v="1"/>
    <d v="2024-12-30T00:00:00"/>
    <x v="1"/>
  </r>
  <r>
    <s v="DBK-CMP-100650"/>
    <s v="DBK-CUS-500650"/>
    <x v="1"/>
    <x v="0"/>
    <x v="205"/>
    <n v="16"/>
    <x v="1"/>
    <d v="2024-01-01T00:00:00"/>
    <x v="3"/>
  </r>
  <r>
    <s v="DBK-CMP-100651"/>
    <s v="DBK-CUS-500651"/>
    <x v="6"/>
    <x v="0"/>
    <x v="234"/>
    <n v="19"/>
    <x v="1"/>
    <d v="2024-11-05T00:00:00"/>
    <x v="5"/>
  </r>
  <r>
    <s v="DBK-CMP-100652"/>
    <s v="DBK-CUS-500652"/>
    <x v="1"/>
    <x v="3"/>
    <x v="299"/>
    <n v="36"/>
    <x v="2"/>
    <m/>
    <x v="0"/>
  </r>
  <r>
    <s v="DBK-CMP-100653"/>
    <s v="DBK-CUS-500653"/>
    <x v="5"/>
    <x v="3"/>
    <x v="20"/>
    <n v="9"/>
    <x v="2"/>
    <m/>
    <x v="0"/>
  </r>
  <r>
    <s v="DBK-CMP-100654"/>
    <s v="DBK-CUS-500654"/>
    <x v="2"/>
    <x v="1"/>
    <x v="247"/>
    <n v="83"/>
    <x v="1"/>
    <d v="2024-11-10T00:00:00"/>
    <x v="4"/>
  </r>
  <r>
    <s v="DBK-CMP-100655"/>
    <s v="DBK-CUS-500655"/>
    <x v="7"/>
    <x v="2"/>
    <x v="300"/>
    <n v="7"/>
    <x v="2"/>
    <m/>
    <x v="0"/>
  </r>
  <r>
    <s v="DBK-CMP-100656"/>
    <s v="DBK-CUS-500656"/>
    <x v="0"/>
    <x v="4"/>
    <x v="204"/>
    <n v="17"/>
    <x v="2"/>
    <m/>
    <x v="0"/>
  </r>
  <r>
    <s v="DBK-CMP-100657"/>
    <s v="DBK-CUS-500657"/>
    <x v="4"/>
    <x v="4"/>
    <x v="209"/>
    <n v="32"/>
    <x v="1"/>
    <d v="2024-09-14T00:00:00"/>
    <x v="2"/>
  </r>
  <r>
    <s v="DBK-CMP-100658"/>
    <s v="DBK-CUS-500658"/>
    <x v="5"/>
    <x v="0"/>
    <x v="301"/>
    <n v="7"/>
    <x v="0"/>
    <m/>
    <x v="0"/>
  </r>
  <r>
    <s v="DBK-CMP-100659"/>
    <s v="DBK-CUS-500659"/>
    <x v="7"/>
    <x v="2"/>
    <x v="270"/>
    <n v="21"/>
    <x v="0"/>
    <m/>
    <x v="0"/>
  </r>
  <r>
    <s v="DBK-CMP-100660"/>
    <s v="DBK-CUS-500660"/>
    <x v="1"/>
    <x v="3"/>
    <x v="43"/>
    <n v="19"/>
    <x v="0"/>
    <m/>
    <x v="0"/>
  </r>
  <r>
    <s v="DBK-CMP-100661"/>
    <s v="DBK-CUS-500661"/>
    <x v="5"/>
    <x v="1"/>
    <x v="264"/>
    <n v="9"/>
    <x v="2"/>
    <m/>
    <x v="0"/>
  </r>
  <r>
    <s v="DBK-CMP-100662"/>
    <s v="DBK-CUS-500662"/>
    <x v="7"/>
    <x v="3"/>
    <x v="167"/>
    <n v="19"/>
    <x v="1"/>
    <d v="2024-01-22T00:00:00"/>
    <x v="5"/>
  </r>
  <r>
    <s v="DBK-CMP-100663"/>
    <s v="DBK-CUS-500663"/>
    <x v="3"/>
    <x v="0"/>
    <x v="302"/>
    <n v="12"/>
    <x v="0"/>
    <m/>
    <x v="0"/>
  </r>
  <r>
    <s v="DBK-CMP-100664"/>
    <s v="DBK-CUS-500664"/>
    <x v="2"/>
    <x v="2"/>
    <x v="130"/>
    <n v="44"/>
    <x v="2"/>
    <m/>
    <x v="0"/>
  </r>
  <r>
    <s v="DBK-CMP-100665"/>
    <s v="DBK-CUS-500665"/>
    <x v="5"/>
    <x v="1"/>
    <x v="57"/>
    <n v="1"/>
    <x v="0"/>
    <m/>
    <x v="0"/>
  </r>
  <r>
    <s v="DBK-CMP-100666"/>
    <s v="DBK-CUS-500666"/>
    <x v="1"/>
    <x v="4"/>
    <x v="176"/>
    <n v="25"/>
    <x v="1"/>
    <d v="2024-08-17T00:00:00"/>
    <x v="2"/>
  </r>
  <r>
    <s v="DBK-CMP-100667"/>
    <s v="DBK-CUS-500667"/>
    <x v="4"/>
    <x v="3"/>
    <x v="303"/>
    <n v="64"/>
    <x v="1"/>
    <d v="2024-10-05T00:00:00"/>
    <x v="4"/>
  </r>
  <r>
    <s v="DBK-CMP-100668"/>
    <s v="DBK-CUS-500668"/>
    <x v="4"/>
    <x v="4"/>
    <x v="136"/>
    <n v="35"/>
    <x v="1"/>
    <d v="2024-01-30T00:00:00"/>
    <x v="2"/>
  </r>
  <r>
    <s v="DBK-CMP-100669"/>
    <s v="DBK-CUS-500669"/>
    <x v="7"/>
    <x v="3"/>
    <x v="113"/>
    <n v="7"/>
    <x v="1"/>
    <d v="2024-12-19T00:00:00"/>
    <x v="1"/>
  </r>
  <r>
    <s v="DBK-CMP-100670"/>
    <s v="DBK-CUS-500670"/>
    <x v="2"/>
    <x v="0"/>
    <x v="288"/>
    <n v="47"/>
    <x v="1"/>
    <d v="2024-04-03T00:00:00"/>
    <x v="2"/>
  </r>
  <r>
    <s v="DBK-CMP-100671"/>
    <s v="DBK-CUS-500671"/>
    <x v="6"/>
    <x v="1"/>
    <x v="43"/>
    <n v="14"/>
    <x v="1"/>
    <d v="2024-04-03T00:00:00"/>
    <x v="5"/>
  </r>
  <r>
    <s v="DBK-CMP-100672"/>
    <s v="DBK-CUS-500672"/>
    <x v="1"/>
    <x v="4"/>
    <x v="33"/>
    <n v="19"/>
    <x v="1"/>
    <d v="2024-01-13T00:00:00"/>
    <x v="5"/>
  </r>
  <r>
    <s v="DBK-CMP-100673"/>
    <s v="DBK-CUS-500673"/>
    <x v="7"/>
    <x v="3"/>
    <x v="55"/>
    <n v="22"/>
    <x v="2"/>
    <m/>
    <x v="0"/>
  </r>
  <r>
    <s v="DBK-CMP-100674"/>
    <s v="DBK-CUS-500674"/>
    <x v="4"/>
    <x v="0"/>
    <x v="5"/>
    <n v="69"/>
    <x v="1"/>
    <d v="2024-12-13T00:00:00"/>
    <x v="4"/>
  </r>
  <r>
    <s v="DBK-CMP-100675"/>
    <s v="DBK-CUS-500675"/>
    <x v="5"/>
    <x v="3"/>
    <x v="304"/>
    <n v="6"/>
    <x v="2"/>
    <m/>
    <x v="0"/>
  </r>
  <r>
    <s v="DBK-CMP-100676"/>
    <s v="DBK-CUS-500676"/>
    <x v="2"/>
    <x v="4"/>
    <x v="42"/>
    <n v="47"/>
    <x v="1"/>
    <d v="2024-08-25T00:00:00"/>
    <x v="2"/>
  </r>
  <r>
    <s v="DBK-CMP-100677"/>
    <s v="DBK-CUS-500677"/>
    <x v="4"/>
    <x v="3"/>
    <x v="305"/>
    <n v="42"/>
    <x v="0"/>
    <m/>
    <x v="0"/>
  </r>
  <r>
    <s v="DBK-CMP-100678"/>
    <s v="DBK-CUS-500678"/>
    <x v="5"/>
    <x v="0"/>
    <x v="207"/>
    <n v="8"/>
    <x v="1"/>
    <d v="2024-12-17T00:00:00"/>
    <x v="3"/>
  </r>
  <r>
    <s v="DBK-CMP-100679"/>
    <s v="DBK-CUS-500679"/>
    <x v="1"/>
    <x v="4"/>
    <x v="235"/>
    <n v="15"/>
    <x v="1"/>
    <d v="2024-11-11T00:00:00"/>
    <x v="5"/>
  </r>
  <r>
    <s v="DBK-CMP-100680"/>
    <s v="DBK-CUS-500680"/>
    <x v="3"/>
    <x v="4"/>
    <x v="291"/>
    <n v="61"/>
    <x v="1"/>
    <d v="2024-03-06T00:00:00"/>
    <x v="4"/>
  </r>
  <r>
    <s v="DBK-CMP-100681"/>
    <s v="DBK-CUS-500681"/>
    <x v="5"/>
    <x v="1"/>
    <x v="18"/>
    <n v="10"/>
    <x v="1"/>
    <d v="2024-03-01T00:00:00"/>
    <x v="1"/>
  </r>
  <r>
    <s v="DBK-CMP-100682"/>
    <s v="DBK-CUS-500682"/>
    <x v="1"/>
    <x v="1"/>
    <x v="23"/>
    <n v="8"/>
    <x v="1"/>
    <d v="2024-04-20T00:00:00"/>
    <x v="3"/>
  </r>
  <r>
    <s v="DBK-CMP-100683"/>
    <s v="DBK-CUS-500683"/>
    <x v="7"/>
    <x v="2"/>
    <x v="98"/>
    <n v="19"/>
    <x v="2"/>
    <m/>
    <x v="0"/>
  </r>
  <r>
    <s v="DBK-CMP-100684"/>
    <s v="DBK-CUS-500684"/>
    <x v="1"/>
    <x v="4"/>
    <x v="234"/>
    <n v="21"/>
    <x v="2"/>
    <m/>
    <x v="0"/>
  </r>
  <r>
    <s v="DBK-CMP-100685"/>
    <s v="DBK-CUS-500685"/>
    <x v="5"/>
    <x v="3"/>
    <x v="306"/>
    <n v="10"/>
    <x v="2"/>
    <m/>
    <x v="0"/>
  </r>
  <r>
    <s v="DBK-CMP-100686"/>
    <s v="DBK-CUS-500686"/>
    <x v="5"/>
    <x v="4"/>
    <x v="162"/>
    <n v="4"/>
    <x v="1"/>
    <d v="2024-11-18T00:00:00"/>
    <x v="3"/>
  </r>
  <r>
    <s v="DBK-CMP-100687"/>
    <s v="DBK-CUS-500687"/>
    <x v="7"/>
    <x v="1"/>
    <x v="267"/>
    <n v="21"/>
    <x v="1"/>
    <d v="2024-03-09T00:00:00"/>
    <x v="5"/>
  </r>
  <r>
    <s v="DBK-CMP-100688"/>
    <s v="DBK-CUS-500688"/>
    <x v="6"/>
    <x v="2"/>
    <x v="210"/>
    <n v="14"/>
    <x v="1"/>
    <d v="2024-02-24T00:00:00"/>
    <x v="3"/>
  </r>
  <r>
    <s v="DBK-CMP-100689"/>
    <s v="DBK-CUS-500689"/>
    <x v="4"/>
    <x v="0"/>
    <x v="307"/>
    <n v="60"/>
    <x v="1"/>
    <d v="2024-04-25T00:00:00"/>
    <x v="4"/>
  </r>
  <r>
    <s v="DBK-CMP-100690"/>
    <s v="DBK-CUS-500690"/>
    <x v="3"/>
    <x v="3"/>
    <x v="192"/>
    <n v="26"/>
    <x v="1"/>
    <d v="2024-02-12T00:00:00"/>
    <x v="2"/>
  </r>
  <r>
    <s v="DBK-CMP-100691"/>
    <s v="DBK-CUS-500691"/>
    <x v="2"/>
    <x v="3"/>
    <x v="62"/>
    <n v="95"/>
    <x v="1"/>
    <d v="2024-01-27T00:00:00"/>
    <x v="4"/>
  </r>
  <r>
    <s v="DBK-CMP-100692"/>
    <s v="DBK-CUS-500692"/>
    <x v="2"/>
    <x v="3"/>
    <x v="308"/>
    <n v="30"/>
    <x v="1"/>
    <d v="2024-07-19T00:00:00"/>
    <x v="3"/>
  </r>
  <r>
    <s v="DBK-CMP-100693"/>
    <s v="DBK-CUS-500693"/>
    <x v="4"/>
    <x v="0"/>
    <x v="117"/>
    <n v="10"/>
    <x v="1"/>
    <d v="2024-10-28T00:00:00"/>
    <x v="1"/>
  </r>
  <r>
    <s v="DBK-CMP-100694"/>
    <s v="DBK-CUS-500694"/>
    <x v="1"/>
    <x v="3"/>
    <x v="309"/>
    <n v="13"/>
    <x v="1"/>
    <d v="2024-09-08T00:00:00"/>
    <x v="5"/>
  </r>
  <r>
    <s v="DBK-CMP-100695"/>
    <s v="DBK-CUS-500695"/>
    <x v="6"/>
    <x v="4"/>
    <x v="229"/>
    <n v="12"/>
    <x v="1"/>
    <d v="2024-09-22T00:00:00"/>
    <x v="1"/>
  </r>
  <r>
    <s v="DBK-CMP-100696"/>
    <s v="DBK-CUS-500696"/>
    <x v="7"/>
    <x v="2"/>
    <x v="111"/>
    <n v="9"/>
    <x v="1"/>
    <d v="2024-11-01T00:00:00"/>
    <x v="1"/>
  </r>
  <r>
    <s v="DBK-CMP-100697"/>
    <s v="DBK-CUS-500697"/>
    <x v="6"/>
    <x v="3"/>
    <x v="281"/>
    <n v="13"/>
    <x v="2"/>
    <m/>
    <x v="0"/>
  </r>
  <r>
    <s v="DBK-CMP-100698"/>
    <s v="DBK-CUS-500698"/>
    <x v="5"/>
    <x v="1"/>
    <x v="310"/>
    <n v="7"/>
    <x v="1"/>
    <d v="2024-10-23T00:00:00"/>
    <x v="1"/>
  </r>
  <r>
    <s v="DBK-CMP-100699"/>
    <s v="DBK-CUS-500699"/>
    <x v="4"/>
    <x v="1"/>
    <x v="11"/>
    <n v="11"/>
    <x v="1"/>
    <d v="2024-09-18T00:00:00"/>
    <x v="3"/>
  </r>
  <r>
    <s v="DBK-CMP-100700"/>
    <s v="DBK-CUS-500700"/>
    <x v="7"/>
    <x v="1"/>
    <x v="4"/>
    <n v="12"/>
    <x v="1"/>
    <d v="2024-03-08T00:00:00"/>
    <x v="3"/>
  </r>
  <r>
    <s v="DBK-CMP-100701"/>
    <s v="DBK-CUS-500701"/>
    <x v="5"/>
    <x v="1"/>
    <x v="65"/>
    <n v="1"/>
    <x v="1"/>
    <d v="2024-03-22T00:00:00"/>
    <x v="3"/>
  </r>
  <r>
    <s v="DBK-CMP-100702"/>
    <s v="DBK-CUS-500702"/>
    <x v="5"/>
    <x v="1"/>
    <x v="168"/>
    <n v="5"/>
    <x v="2"/>
    <m/>
    <x v="0"/>
  </r>
  <r>
    <s v="DBK-CMP-100703"/>
    <s v="DBK-CUS-500703"/>
    <x v="0"/>
    <x v="4"/>
    <x v="199"/>
    <n v="44"/>
    <x v="2"/>
    <m/>
    <x v="0"/>
  </r>
  <r>
    <s v="DBK-CMP-100704"/>
    <s v="DBK-CUS-500704"/>
    <x v="4"/>
    <x v="0"/>
    <x v="87"/>
    <n v="33"/>
    <x v="1"/>
    <d v="2024-09-07T00:00:00"/>
    <x v="2"/>
  </r>
  <r>
    <s v="DBK-CMP-100705"/>
    <s v="DBK-CUS-500705"/>
    <x v="5"/>
    <x v="2"/>
    <x v="41"/>
    <n v="6"/>
    <x v="1"/>
    <d v="2024-12-30T00:00:00"/>
    <x v="3"/>
  </r>
  <r>
    <s v="DBK-CMP-100706"/>
    <s v="DBK-CUS-500706"/>
    <x v="4"/>
    <x v="3"/>
    <x v="87"/>
    <n v="48"/>
    <x v="1"/>
    <d v="2024-09-08T00:00:00"/>
    <x v="2"/>
  </r>
  <r>
    <s v="DBK-CMP-100707"/>
    <s v="DBK-CUS-500707"/>
    <x v="2"/>
    <x v="1"/>
    <x v="195"/>
    <n v="66"/>
    <x v="1"/>
    <d v="2024-04-01T00:00:00"/>
    <x v="4"/>
  </r>
  <r>
    <s v="DBK-CMP-100708"/>
    <s v="DBK-CUS-500708"/>
    <x v="5"/>
    <x v="4"/>
    <x v="113"/>
    <n v="5"/>
    <x v="1"/>
    <d v="2024-12-19T00:00:00"/>
    <x v="3"/>
  </r>
  <r>
    <s v="DBK-CMP-100709"/>
    <s v="DBK-CUS-500709"/>
    <x v="2"/>
    <x v="4"/>
    <x v="311"/>
    <n v="69"/>
    <x v="1"/>
    <d v="2024-04-27T00:00:00"/>
    <x v="4"/>
  </r>
  <r>
    <s v="DBK-CMP-100710"/>
    <s v="DBK-CUS-500710"/>
    <x v="1"/>
    <x v="0"/>
    <x v="155"/>
    <n v="4"/>
    <x v="2"/>
    <m/>
    <x v="0"/>
  </r>
  <r>
    <s v="DBK-CMP-100711"/>
    <s v="DBK-CUS-500711"/>
    <x v="4"/>
    <x v="4"/>
    <x v="119"/>
    <n v="7"/>
    <x v="1"/>
    <d v="2024-07-03T00:00:00"/>
    <x v="1"/>
  </r>
  <r>
    <s v="DBK-CMP-100712"/>
    <s v="DBK-CUS-500712"/>
    <x v="3"/>
    <x v="1"/>
    <x v="95"/>
    <n v="53"/>
    <x v="2"/>
    <m/>
    <x v="0"/>
  </r>
  <r>
    <s v="DBK-CMP-100713"/>
    <s v="DBK-CUS-500713"/>
    <x v="5"/>
    <x v="0"/>
    <x v="240"/>
    <n v="3"/>
    <x v="1"/>
    <d v="2024-08-15T00:00:00"/>
    <x v="3"/>
  </r>
  <r>
    <s v="DBK-CMP-100714"/>
    <s v="DBK-CUS-500714"/>
    <x v="4"/>
    <x v="3"/>
    <x v="120"/>
    <n v="32"/>
    <x v="1"/>
    <d v="2024-08-15T00:00:00"/>
    <x v="2"/>
  </r>
  <r>
    <s v="DBK-CMP-100715"/>
    <s v="DBK-CUS-500715"/>
    <x v="1"/>
    <x v="1"/>
    <x v="298"/>
    <n v="4"/>
    <x v="0"/>
    <m/>
    <x v="0"/>
  </r>
  <r>
    <s v="DBK-CMP-100716"/>
    <s v="DBK-CUS-500716"/>
    <x v="2"/>
    <x v="4"/>
    <x v="15"/>
    <n v="64"/>
    <x v="1"/>
    <d v="2024-08-30T00:00:00"/>
    <x v="4"/>
  </r>
  <r>
    <s v="DBK-CMP-100717"/>
    <s v="DBK-CUS-500717"/>
    <x v="4"/>
    <x v="4"/>
    <x v="218"/>
    <n v="34"/>
    <x v="1"/>
    <d v="2024-10-14T00:00:00"/>
    <x v="3"/>
  </r>
  <r>
    <s v="DBK-CMP-100718"/>
    <s v="DBK-CUS-500718"/>
    <x v="7"/>
    <x v="0"/>
    <x v="150"/>
    <n v="4"/>
    <x v="0"/>
    <m/>
    <x v="0"/>
  </r>
  <r>
    <s v="DBK-CMP-100719"/>
    <s v="DBK-CUS-500719"/>
    <x v="6"/>
    <x v="2"/>
    <x v="38"/>
    <n v="9"/>
    <x v="1"/>
    <d v="2024-05-18T00:00:00"/>
    <x v="1"/>
  </r>
  <r>
    <s v="DBK-CMP-100720"/>
    <s v="DBK-CUS-500720"/>
    <x v="6"/>
    <x v="4"/>
    <x v="24"/>
    <n v="19"/>
    <x v="1"/>
    <d v="2024-09-16T00:00:00"/>
    <x v="5"/>
  </r>
  <r>
    <s v="DBK-CMP-100721"/>
    <s v="DBK-CUS-500721"/>
    <x v="0"/>
    <x v="4"/>
    <x v="152"/>
    <n v="36"/>
    <x v="0"/>
    <m/>
    <x v="0"/>
  </r>
  <r>
    <s v="DBK-CMP-100722"/>
    <s v="DBK-CUS-500722"/>
    <x v="2"/>
    <x v="1"/>
    <x v="203"/>
    <n v="29"/>
    <x v="2"/>
    <m/>
    <x v="0"/>
  </r>
  <r>
    <s v="DBK-CMP-100723"/>
    <s v="DBK-CUS-500723"/>
    <x v="2"/>
    <x v="2"/>
    <x v="149"/>
    <n v="37"/>
    <x v="2"/>
    <m/>
    <x v="0"/>
  </r>
  <r>
    <s v="DBK-CMP-100724"/>
    <s v="DBK-CUS-500724"/>
    <x v="2"/>
    <x v="3"/>
    <x v="143"/>
    <n v="58"/>
    <x v="1"/>
    <d v="2024-04-24T00:00:00"/>
    <x v="4"/>
  </r>
  <r>
    <s v="DBK-CMP-100725"/>
    <s v="DBK-CUS-500725"/>
    <x v="5"/>
    <x v="1"/>
    <x v="273"/>
    <n v="11"/>
    <x v="2"/>
    <m/>
    <x v="0"/>
  </r>
  <r>
    <s v="DBK-CMP-100726"/>
    <s v="DBK-CUS-500726"/>
    <x v="4"/>
    <x v="0"/>
    <x v="102"/>
    <n v="70"/>
    <x v="1"/>
    <d v="2024-07-25T00:00:00"/>
    <x v="4"/>
  </r>
  <r>
    <s v="DBK-CMP-100727"/>
    <s v="DBK-CUS-500727"/>
    <x v="2"/>
    <x v="4"/>
    <x v="113"/>
    <n v="32"/>
    <x v="0"/>
    <m/>
    <x v="0"/>
  </r>
  <r>
    <s v="DBK-CMP-100728"/>
    <s v="DBK-CUS-500728"/>
    <x v="6"/>
    <x v="2"/>
    <x v="84"/>
    <n v="7"/>
    <x v="1"/>
    <d v="2024-09-27T00:00:00"/>
    <x v="1"/>
  </r>
  <r>
    <s v="DBK-CMP-100729"/>
    <s v="DBK-CUS-500729"/>
    <x v="7"/>
    <x v="1"/>
    <x v="50"/>
    <n v="13"/>
    <x v="1"/>
    <d v="2024-08-11T00:00:00"/>
    <x v="5"/>
  </r>
  <r>
    <s v="DBK-CMP-100730"/>
    <s v="DBK-CUS-500730"/>
    <x v="2"/>
    <x v="1"/>
    <x v="299"/>
    <n v="34"/>
    <x v="0"/>
    <m/>
    <x v="0"/>
  </r>
  <r>
    <s v="DBK-CMP-100731"/>
    <s v="DBK-CUS-500731"/>
    <x v="5"/>
    <x v="2"/>
    <x v="18"/>
    <n v="2"/>
    <x v="1"/>
    <d v="2024-03-01T00:00:00"/>
    <x v="3"/>
  </r>
  <r>
    <s v="DBK-CMP-100732"/>
    <s v="DBK-CUS-500732"/>
    <x v="3"/>
    <x v="3"/>
    <x v="94"/>
    <n v="29"/>
    <x v="0"/>
    <m/>
    <x v="0"/>
  </r>
  <r>
    <s v="DBK-CMP-100733"/>
    <s v="DBK-CUS-500733"/>
    <x v="1"/>
    <x v="3"/>
    <x v="13"/>
    <n v="33"/>
    <x v="0"/>
    <m/>
    <x v="0"/>
  </r>
  <r>
    <s v="DBK-CMP-100734"/>
    <s v="DBK-CUS-500734"/>
    <x v="0"/>
    <x v="1"/>
    <x v="116"/>
    <n v="15"/>
    <x v="1"/>
    <d v="2024-10-22T00:00:00"/>
    <x v="5"/>
  </r>
  <r>
    <s v="DBK-CMP-100735"/>
    <s v="DBK-CUS-500735"/>
    <x v="3"/>
    <x v="2"/>
    <x v="239"/>
    <n v="64"/>
    <x v="1"/>
    <d v="2024-02-24T00:00:00"/>
    <x v="4"/>
  </r>
  <r>
    <s v="DBK-CMP-100736"/>
    <s v="DBK-CUS-500736"/>
    <x v="0"/>
    <x v="0"/>
    <x v="40"/>
    <n v="27"/>
    <x v="1"/>
    <d v="2024-08-27T00:00:00"/>
    <x v="2"/>
  </r>
  <r>
    <s v="DBK-CMP-100737"/>
    <s v="DBK-CUS-500737"/>
    <x v="2"/>
    <x v="3"/>
    <x v="22"/>
    <n v="26"/>
    <x v="1"/>
    <d v="2024-01-19T00:00:00"/>
    <x v="2"/>
  </r>
  <r>
    <s v="DBK-CMP-100738"/>
    <s v="DBK-CUS-500738"/>
    <x v="4"/>
    <x v="2"/>
    <x v="293"/>
    <n v="33"/>
    <x v="0"/>
    <m/>
    <x v="0"/>
  </r>
  <r>
    <s v="DBK-CMP-100739"/>
    <s v="DBK-CUS-500739"/>
    <x v="4"/>
    <x v="2"/>
    <x v="10"/>
    <n v="58"/>
    <x v="1"/>
    <d v="2024-01-05T00:00:00"/>
    <x v="4"/>
  </r>
  <r>
    <s v="DBK-CMP-100740"/>
    <s v="DBK-CUS-500740"/>
    <x v="1"/>
    <x v="0"/>
    <x v="182"/>
    <n v="22"/>
    <x v="0"/>
    <m/>
    <x v="0"/>
  </r>
  <r>
    <s v="DBK-CMP-100741"/>
    <s v="DBK-CUS-500741"/>
    <x v="7"/>
    <x v="4"/>
    <x v="312"/>
    <n v="2"/>
    <x v="0"/>
    <m/>
    <x v="0"/>
  </r>
  <r>
    <s v="DBK-CMP-100742"/>
    <s v="DBK-CUS-500742"/>
    <x v="0"/>
    <x v="0"/>
    <x v="239"/>
    <n v="5"/>
    <x v="1"/>
    <d v="2024-02-22T00:00:00"/>
    <x v="3"/>
  </r>
  <r>
    <s v="DBK-CMP-100743"/>
    <s v="DBK-CUS-500743"/>
    <x v="7"/>
    <x v="3"/>
    <x v="177"/>
    <n v="15"/>
    <x v="2"/>
    <m/>
    <x v="0"/>
  </r>
  <r>
    <s v="DBK-CMP-100744"/>
    <s v="DBK-CUS-500744"/>
    <x v="5"/>
    <x v="0"/>
    <x v="92"/>
    <n v="11"/>
    <x v="1"/>
    <d v="2024-05-30T00:00:00"/>
    <x v="1"/>
  </r>
  <r>
    <s v="DBK-CMP-100745"/>
    <s v="DBK-CUS-500745"/>
    <x v="4"/>
    <x v="0"/>
    <x v="43"/>
    <n v="42"/>
    <x v="1"/>
    <d v="2024-04-04T00:00:00"/>
    <x v="2"/>
  </r>
  <r>
    <s v="DBK-CMP-100746"/>
    <s v="DBK-CUS-500746"/>
    <x v="2"/>
    <x v="2"/>
    <x v="231"/>
    <n v="30"/>
    <x v="0"/>
    <m/>
    <x v="0"/>
  </r>
  <r>
    <s v="DBK-CMP-100747"/>
    <s v="DBK-CUS-500747"/>
    <x v="1"/>
    <x v="0"/>
    <x v="313"/>
    <n v="22"/>
    <x v="0"/>
    <m/>
    <x v="0"/>
  </r>
  <r>
    <s v="DBK-CMP-100748"/>
    <s v="DBK-CUS-500748"/>
    <x v="4"/>
    <x v="4"/>
    <x v="297"/>
    <n v="16"/>
    <x v="1"/>
    <d v="2024-01-05T00:00:00"/>
    <x v="3"/>
  </r>
  <r>
    <s v="DBK-CMP-100749"/>
    <s v="DBK-CUS-500749"/>
    <x v="2"/>
    <x v="4"/>
    <x v="79"/>
    <n v="26"/>
    <x v="1"/>
    <d v="2024-05-03T00:00:00"/>
    <x v="2"/>
  </r>
  <r>
    <s v="DBK-CMP-100750"/>
    <s v="DBK-CUS-500750"/>
    <x v="6"/>
    <x v="1"/>
    <x v="5"/>
    <n v="12"/>
    <x v="0"/>
    <m/>
    <x v="0"/>
  </r>
  <r>
    <s v="DBK-CMP-100751"/>
    <s v="DBK-CUS-500751"/>
    <x v="2"/>
    <x v="0"/>
    <x v="275"/>
    <n v="85"/>
    <x v="1"/>
    <d v="2024-01-14T00:00:00"/>
    <x v="3"/>
  </r>
  <r>
    <s v="DBK-CMP-100752"/>
    <s v="DBK-CUS-500752"/>
    <x v="0"/>
    <x v="2"/>
    <x v="220"/>
    <n v="23"/>
    <x v="1"/>
    <d v="2024-02-04T00:00:00"/>
    <x v="5"/>
  </r>
  <r>
    <s v="DBK-CMP-100753"/>
    <s v="DBK-CUS-500753"/>
    <x v="1"/>
    <x v="1"/>
    <x v="219"/>
    <n v="35"/>
    <x v="0"/>
    <m/>
    <x v="0"/>
  </r>
  <r>
    <s v="DBK-CMP-100754"/>
    <s v="DBK-CUS-500754"/>
    <x v="0"/>
    <x v="1"/>
    <x v="127"/>
    <n v="39"/>
    <x v="0"/>
    <m/>
    <x v="0"/>
  </r>
  <r>
    <s v="DBK-CMP-100755"/>
    <s v="DBK-CUS-500755"/>
    <x v="0"/>
    <x v="2"/>
    <x v="235"/>
    <n v="9"/>
    <x v="1"/>
    <d v="2024-11-11T00:00:00"/>
    <x v="1"/>
  </r>
  <r>
    <s v="DBK-CMP-100756"/>
    <s v="DBK-CUS-500756"/>
    <x v="1"/>
    <x v="0"/>
    <x v="314"/>
    <n v="16"/>
    <x v="1"/>
    <d v="2024-11-30T00:00:00"/>
    <x v="5"/>
  </r>
  <r>
    <s v="DBK-CMP-100757"/>
    <s v="DBK-CUS-500757"/>
    <x v="2"/>
    <x v="2"/>
    <x v="200"/>
    <n v="48"/>
    <x v="1"/>
    <d v="2024-05-07T00:00:00"/>
    <x v="3"/>
  </r>
  <r>
    <s v="DBK-CMP-100758"/>
    <s v="DBK-CUS-500758"/>
    <x v="2"/>
    <x v="1"/>
    <x v="82"/>
    <n v="69"/>
    <x v="1"/>
    <d v="2024-09-30T00:00:00"/>
    <x v="4"/>
  </r>
  <r>
    <s v="DBK-CMP-100759"/>
    <s v="DBK-CUS-500759"/>
    <x v="3"/>
    <x v="1"/>
    <x v="137"/>
    <n v="55"/>
    <x v="1"/>
    <d v="2024-08-01T00:00:00"/>
    <x v="4"/>
  </r>
  <r>
    <s v="DBK-CMP-100760"/>
    <s v="DBK-CUS-500760"/>
    <x v="4"/>
    <x v="3"/>
    <x v="173"/>
    <n v="10"/>
    <x v="2"/>
    <m/>
    <x v="0"/>
  </r>
  <r>
    <s v="DBK-CMP-100761"/>
    <s v="DBK-CUS-500761"/>
    <x v="7"/>
    <x v="4"/>
    <x v="32"/>
    <n v="20"/>
    <x v="1"/>
    <d v="2024-11-17T00:00:00"/>
    <x v="5"/>
  </r>
  <r>
    <s v="DBK-CMP-100762"/>
    <s v="DBK-CUS-500762"/>
    <x v="2"/>
    <x v="0"/>
    <x v="275"/>
    <n v="93"/>
    <x v="0"/>
    <m/>
    <x v="0"/>
  </r>
  <r>
    <s v="DBK-CMP-100763"/>
    <s v="DBK-CUS-500763"/>
    <x v="1"/>
    <x v="1"/>
    <x v="269"/>
    <n v="32"/>
    <x v="0"/>
    <m/>
    <x v="0"/>
  </r>
  <r>
    <s v="DBK-CMP-100764"/>
    <s v="DBK-CUS-500764"/>
    <x v="3"/>
    <x v="0"/>
    <x v="50"/>
    <n v="56"/>
    <x v="1"/>
    <d v="2024-08-13T00:00:00"/>
    <x v="4"/>
  </r>
  <r>
    <s v="DBK-CMP-100765"/>
    <s v="DBK-CUS-500765"/>
    <x v="3"/>
    <x v="1"/>
    <x v="113"/>
    <n v="28"/>
    <x v="0"/>
    <m/>
    <x v="0"/>
  </r>
  <r>
    <s v="DBK-CMP-100766"/>
    <s v="DBK-CUS-500766"/>
    <x v="3"/>
    <x v="4"/>
    <x v="315"/>
    <n v="38"/>
    <x v="2"/>
    <m/>
    <x v="0"/>
  </r>
  <r>
    <s v="DBK-CMP-100767"/>
    <s v="DBK-CUS-500767"/>
    <x v="7"/>
    <x v="2"/>
    <x v="147"/>
    <n v="18"/>
    <x v="1"/>
    <d v="2024-03-24T00:00:00"/>
    <x v="5"/>
  </r>
  <r>
    <s v="DBK-CMP-100768"/>
    <s v="DBK-CUS-500768"/>
    <x v="0"/>
    <x v="4"/>
    <x v="70"/>
    <n v="15"/>
    <x v="1"/>
    <d v="2024-12-06T00:00:00"/>
    <x v="5"/>
  </r>
  <r>
    <s v="DBK-CMP-100769"/>
    <s v="DBK-CUS-500769"/>
    <x v="4"/>
    <x v="2"/>
    <x v="307"/>
    <n v="14"/>
    <x v="2"/>
    <m/>
    <x v="0"/>
  </r>
  <r>
    <s v="DBK-CMP-100770"/>
    <s v="DBK-CUS-500770"/>
    <x v="6"/>
    <x v="3"/>
    <x v="155"/>
    <n v="17"/>
    <x v="2"/>
    <m/>
    <x v="0"/>
  </r>
  <r>
    <s v="DBK-CMP-100771"/>
    <s v="DBK-CUS-500771"/>
    <x v="1"/>
    <x v="3"/>
    <x v="316"/>
    <n v="24"/>
    <x v="1"/>
    <d v="2024-07-23T00:00:00"/>
    <x v="5"/>
  </r>
  <r>
    <s v="DBK-CMP-100772"/>
    <s v="DBK-CUS-500772"/>
    <x v="3"/>
    <x v="3"/>
    <x v="38"/>
    <n v="33"/>
    <x v="1"/>
    <d v="2024-05-19T00:00:00"/>
    <x v="2"/>
  </r>
  <r>
    <s v="DBK-CMP-100773"/>
    <s v="DBK-CUS-500773"/>
    <x v="3"/>
    <x v="3"/>
    <x v="65"/>
    <n v="63"/>
    <x v="1"/>
    <d v="2024-03-24T00:00:00"/>
    <x v="4"/>
  </r>
  <r>
    <s v="DBK-CMP-100774"/>
    <s v="DBK-CUS-500774"/>
    <x v="7"/>
    <x v="0"/>
    <x v="2"/>
    <n v="8"/>
    <x v="0"/>
    <m/>
    <x v="0"/>
  </r>
  <r>
    <s v="DBK-CMP-100775"/>
    <s v="DBK-CUS-500775"/>
    <x v="1"/>
    <x v="3"/>
    <x v="21"/>
    <n v="8"/>
    <x v="2"/>
    <m/>
    <x v="0"/>
  </r>
  <r>
    <s v="DBK-CMP-100776"/>
    <s v="DBK-CUS-500776"/>
    <x v="4"/>
    <x v="0"/>
    <x v="86"/>
    <n v="38"/>
    <x v="1"/>
    <d v="2024-04-12T00:00:00"/>
    <x v="2"/>
  </r>
  <r>
    <s v="DBK-CMP-100777"/>
    <s v="DBK-CUS-500777"/>
    <x v="5"/>
    <x v="4"/>
    <x v="312"/>
    <n v="8"/>
    <x v="1"/>
    <d v="2024-12-26T00:00:00"/>
    <x v="1"/>
  </r>
  <r>
    <s v="DBK-CMP-100778"/>
    <s v="DBK-CUS-500778"/>
    <x v="2"/>
    <x v="3"/>
    <x v="263"/>
    <n v="34"/>
    <x v="1"/>
    <d v="2024-07-10T00:00:00"/>
    <x v="3"/>
  </r>
  <r>
    <s v="DBK-CMP-100779"/>
    <s v="DBK-CUS-500779"/>
    <x v="1"/>
    <x v="1"/>
    <x v="97"/>
    <n v="22"/>
    <x v="1"/>
    <d v="2024-02-19T00:00:00"/>
    <x v="5"/>
  </r>
  <r>
    <s v="DBK-CMP-100780"/>
    <s v="DBK-CUS-500780"/>
    <x v="5"/>
    <x v="1"/>
    <x v="257"/>
    <n v="7"/>
    <x v="1"/>
    <d v="2024-05-13T00:00:00"/>
    <x v="1"/>
  </r>
  <r>
    <s v="DBK-CMP-100781"/>
    <s v="DBK-CUS-500781"/>
    <x v="5"/>
    <x v="0"/>
    <x v="70"/>
    <n v="8"/>
    <x v="1"/>
    <d v="2024-12-06T00:00:00"/>
    <x v="1"/>
  </r>
  <r>
    <s v="DBK-CMP-100782"/>
    <s v="DBK-CUS-500782"/>
    <x v="3"/>
    <x v="1"/>
    <x v="18"/>
    <n v="40"/>
    <x v="1"/>
    <d v="2024-03-02T00:00:00"/>
    <x v="2"/>
  </r>
  <r>
    <s v="DBK-CMP-100783"/>
    <s v="DBK-CUS-500783"/>
    <x v="7"/>
    <x v="1"/>
    <x v="108"/>
    <n v="2"/>
    <x v="1"/>
    <d v="2024-07-21T00:00:00"/>
    <x v="3"/>
  </r>
  <r>
    <s v="DBK-CMP-100784"/>
    <s v="DBK-CUS-500784"/>
    <x v="2"/>
    <x v="2"/>
    <x v="136"/>
    <n v="84"/>
    <x v="1"/>
    <d v="2024-02-01T00:00:00"/>
    <x v="4"/>
  </r>
  <r>
    <s v="DBK-CMP-100785"/>
    <s v="DBK-CUS-500785"/>
    <x v="7"/>
    <x v="2"/>
    <x v="133"/>
    <n v="12"/>
    <x v="1"/>
    <d v="2024-09-10T00:00:00"/>
    <x v="3"/>
  </r>
  <r>
    <s v="DBK-CMP-100786"/>
    <s v="DBK-CUS-500786"/>
    <x v="1"/>
    <x v="0"/>
    <x v="304"/>
    <n v="19"/>
    <x v="1"/>
    <d v="2024-01-02T00:00:00"/>
    <x v="3"/>
  </r>
  <r>
    <s v="DBK-CMP-100787"/>
    <s v="DBK-CUS-500787"/>
    <x v="3"/>
    <x v="4"/>
    <x v="54"/>
    <n v="72"/>
    <x v="1"/>
    <d v="2024-05-22T00:00:00"/>
    <x v="3"/>
  </r>
  <r>
    <s v="DBK-CMP-100788"/>
    <s v="DBK-CUS-500788"/>
    <x v="0"/>
    <x v="3"/>
    <x v="287"/>
    <n v="48"/>
    <x v="1"/>
    <d v="2024-04-10T00:00:00"/>
    <x v="2"/>
  </r>
  <r>
    <s v="DBK-CMP-100789"/>
    <s v="DBK-CUS-500789"/>
    <x v="1"/>
    <x v="1"/>
    <x v="79"/>
    <n v="10"/>
    <x v="2"/>
    <m/>
    <x v="0"/>
  </r>
  <r>
    <s v="DBK-CMP-100790"/>
    <s v="DBK-CUS-500790"/>
    <x v="5"/>
    <x v="2"/>
    <x v="190"/>
    <n v="9"/>
    <x v="1"/>
    <d v="2024-07-11T00:00:00"/>
    <x v="1"/>
  </r>
  <r>
    <s v="DBK-CMP-100791"/>
    <s v="DBK-CUS-500791"/>
    <x v="1"/>
    <x v="4"/>
    <x v="93"/>
    <n v="10"/>
    <x v="1"/>
    <d v="2024-09-25T00:00:00"/>
    <x v="1"/>
  </r>
  <r>
    <s v="DBK-CMP-100792"/>
    <s v="DBK-CUS-500792"/>
    <x v="3"/>
    <x v="1"/>
    <x v="139"/>
    <n v="9"/>
    <x v="1"/>
    <d v="2024-01-14T00:00:00"/>
    <x v="1"/>
  </r>
  <r>
    <s v="DBK-CMP-100793"/>
    <s v="DBK-CUS-500793"/>
    <x v="2"/>
    <x v="3"/>
    <x v="113"/>
    <n v="76"/>
    <x v="0"/>
    <m/>
    <x v="0"/>
  </r>
  <r>
    <s v="DBK-CMP-100794"/>
    <s v="DBK-CUS-500794"/>
    <x v="1"/>
    <x v="1"/>
    <x v="317"/>
    <n v="32"/>
    <x v="0"/>
    <m/>
    <x v="0"/>
  </r>
  <r>
    <s v="DBK-CMP-100795"/>
    <s v="DBK-CUS-500795"/>
    <x v="6"/>
    <x v="2"/>
    <x v="168"/>
    <n v="15"/>
    <x v="1"/>
    <d v="2024-08-09T00:00:00"/>
    <x v="5"/>
  </r>
  <r>
    <s v="DBK-CMP-100796"/>
    <s v="DBK-CUS-500796"/>
    <x v="1"/>
    <x v="0"/>
    <x v="77"/>
    <n v="11"/>
    <x v="1"/>
    <d v="2024-02-02T00:00:00"/>
    <x v="3"/>
  </r>
  <r>
    <s v="DBK-CMP-100797"/>
    <s v="DBK-CUS-500797"/>
    <x v="7"/>
    <x v="0"/>
    <x v="37"/>
    <n v="8"/>
    <x v="2"/>
    <m/>
    <x v="0"/>
  </r>
  <r>
    <s v="DBK-CMP-100798"/>
    <s v="DBK-CUS-500798"/>
    <x v="4"/>
    <x v="0"/>
    <x v="125"/>
    <n v="43"/>
    <x v="1"/>
    <d v="2024-07-09T00:00:00"/>
    <x v="2"/>
  </r>
  <r>
    <s v="DBK-CMP-100799"/>
    <s v="DBK-CUS-500799"/>
    <x v="3"/>
    <x v="0"/>
    <x v="88"/>
    <n v="44"/>
    <x v="2"/>
    <m/>
    <x v="0"/>
  </r>
  <r>
    <s v="DBK-CMP-100800"/>
    <s v="DBK-CUS-500800"/>
    <x v="2"/>
    <x v="2"/>
    <x v="91"/>
    <n v="84"/>
    <x v="2"/>
    <m/>
    <x v="0"/>
  </r>
  <r>
    <s v="DBK-CMP-100801"/>
    <s v="DBK-CUS-500801"/>
    <x v="4"/>
    <x v="4"/>
    <x v="318"/>
    <n v="39"/>
    <x v="1"/>
    <d v="2024-04-08T00:00:00"/>
    <x v="2"/>
  </r>
  <r>
    <s v="DBK-CMP-100802"/>
    <s v="DBK-CUS-500802"/>
    <x v="7"/>
    <x v="1"/>
    <x v="43"/>
    <n v="24"/>
    <x v="2"/>
    <m/>
    <x v="0"/>
  </r>
  <r>
    <s v="DBK-CMP-100803"/>
    <s v="DBK-CUS-500803"/>
    <x v="4"/>
    <x v="3"/>
    <x v="56"/>
    <n v="18"/>
    <x v="2"/>
    <m/>
    <x v="0"/>
  </r>
  <r>
    <s v="DBK-CMP-100804"/>
    <s v="DBK-CUS-500804"/>
    <x v="0"/>
    <x v="4"/>
    <x v="249"/>
    <n v="43"/>
    <x v="1"/>
    <d v="2024-03-14T00:00:00"/>
    <x v="2"/>
  </r>
  <r>
    <s v="DBK-CMP-100805"/>
    <s v="DBK-CUS-500805"/>
    <x v="5"/>
    <x v="1"/>
    <x v="319"/>
    <n v="12"/>
    <x v="1"/>
    <d v="2024-07-15T00:00:00"/>
    <x v="1"/>
  </r>
  <r>
    <s v="DBK-CMP-100806"/>
    <s v="DBK-CUS-500806"/>
    <x v="7"/>
    <x v="0"/>
    <x v="53"/>
    <n v="24"/>
    <x v="1"/>
    <d v="2024-12-16T00:00:00"/>
    <x v="5"/>
  </r>
  <r>
    <s v="DBK-CMP-100807"/>
    <s v="DBK-CUS-500807"/>
    <x v="4"/>
    <x v="2"/>
    <x v="121"/>
    <n v="40"/>
    <x v="1"/>
    <d v="2024-10-15T00:00:00"/>
    <x v="2"/>
  </r>
  <r>
    <s v="DBK-CMP-100808"/>
    <s v="DBK-CUS-500808"/>
    <x v="2"/>
    <x v="2"/>
    <x v="204"/>
    <n v="44"/>
    <x v="0"/>
    <m/>
    <x v="0"/>
  </r>
  <r>
    <s v="DBK-CMP-100809"/>
    <s v="DBK-CUS-500809"/>
    <x v="2"/>
    <x v="4"/>
    <x v="228"/>
    <n v="70"/>
    <x v="1"/>
    <d v="2024-03-14T00:00:00"/>
    <x v="3"/>
  </r>
  <r>
    <s v="DBK-CMP-100810"/>
    <s v="DBK-CUS-500810"/>
    <x v="5"/>
    <x v="2"/>
    <x v="103"/>
    <n v="10"/>
    <x v="1"/>
    <d v="2024-06-03T00:00:00"/>
    <x v="1"/>
  </r>
  <r>
    <s v="DBK-CMP-100811"/>
    <s v="DBK-CUS-500811"/>
    <x v="7"/>
    <x v="4"/>
    <x v="250"/>
    <n v="13"/>
    <x v="1"/>
    <d v="2024-07-17T00:00:00"/>
    <x v="5"/>
  </r>
  <r>
    <s v="DBK-CMP-100812"/>
    <s v="DBK-CUS-500812"/>
    <x v="4"/>
    <x v="0"/>
    <x v="288"/>
    <n v="49"/>
    <x v="2"/>
    <m/>
    <x v="0"/>
  </r>
  <r>
    <s v="DBK-CMP-100813"/>
    <s v="DBK-CUS-500813"/>
    <x v="0"/>
    <x v="2"/>
    <x v="320"/>
    <n v="9"/>
    <x v="0"/>
    <m/>
    <x v="0"/>
  </r>
  <r>
    <s v="DBK-CMP-100814"/>
    <s v="DBK-CUS-500814"/>
    <x v="2"/>
    <x v="0"/>
    <x v="321"/>
    <n v="80"/>
    <x v="1"/>
    <d v="2024-11-22T00:00:00"/>
    <x v="4"/>
  </r>
  <r>
    <s v="DBK-CMP-100815"/>
    <s v="DBK-CUS-500815"/>
    <x v="0"/>
    <x v="4"/>
    <x v="322"/>
    <n v="16"/>
    <x v="0"/>
    <m/>
    <x v="0"/>
  </r>
  <r>
    <s v="DBK-CMP-100816"/>
    <s v="DBK-CUS-500816"/>
    <x v="3"/>
    <x v="1"/>
    <x v="218"/>
    <n v="28"/>
    <x v="1"/>
    <d v="2024-10-14T00:00:00"/>
    <x v="2"/>
  </r>
  <r>
    <s v="DBK-CMP-100817"/>
    <s v="DBK-CUS-500817"/>
    <x v="1"/>
    <x v="4"/>
    <x v="297"/>
    <n v="19"/>
    <x v="1"/>
    <d v="2024-01-05T00:00:00"/>
    <x v="3"/>
  </r>
  <r>
    <s v="DBK-CMP-100818"/>
    <s v="DBK-CUS-500818"/>
    <x v="0"/>
    <x v="3"/>
    <x v="68"/>
    <n v="8"/>
    <x v="1"/>
    <d v="2024-04-21T00:00:00"/>
    <x v="1"/>
  </r>
  <r>
    <s v="DBK-CMP-100819"/>
    <s v="DBK-CUS-500819"/>
    <x v="0"/>
    <x v="2"/>
    <x v="182"/>
    <n v="12"/>
    <x v="1"/>
    <d v="2024-10-12T00:00:00"/>
    <x v="1"/>
  </r>
  <r>
    <s v="DBK-CMP-100820"/>
    <s v="DBK-CUS-500820"/>
    <x v="7"/>
    <x v="3"/>
    <x v="141"/>
    <n v="9"/>
    <x v="1"/>
    <d v="2024-08-06T00:00:00"/>
    <x v="1"/>
  </r>
  <r>
    <s v="DBK-CMP-100821"/>
    <s v="DBK-CUS-500821"/>
    <x v="0"/>
    <x v="1"/>
    <x v="183"/>
    <n v="15"/>
    <x v="1"/>
    <d v="2024-01-26T00:00:00"/>
    <x v="5"/>
  </r>
  <r>
    <s v="DBK-CMP-100822"/>
    <s v="DBK-CUS-500822"/>
    <x v="1"/>
    <x v="3"/>
    <x v="83"/>
    <n v="30"/>
    <x v="1"/>
    <d v="2024-11-07T00:00:00"/>
    <x v="2"/>
  </r>
  <r>
    <s v="DBK-CMP-100823"/>
    <s v="DBK-CUS-500823"/>
    <x v="4"/>
    <x v="4"/>
    <x v="254"/>
    <n v="56"/>
    <x v="2"/>
    <m/>
    <x v="0"/>
  </r>
  <r>
    <s v="DBK-CMP-100824"/>
    <s v="DBK-CUS-500824"/>
    <x v="5"/>
    <x v="0"/>
    <x v="175"/>
    <n v="7"/>
    <x v="1"/>
    <d v="2024-02-23T00:00:00"/>
    <x v="1"/>
  </r>
  <r>
    <s v="DBK-CMP-100825"/>
    <s v="DBK-CUS-500825"/>
    <x v="4"/>
    <x v="4"/>
    <x v="126"/>
    <n v="10"/>
    <x v="1"/>
    <d v="2024-01-27T00:00:00"/>
    <x v="1"/>
  </r>
  <r>
    <s v="DBK-CMP-100826"/>
    <s v="DBK-CUS-500826"/>
    <x v="3"/>
    <x v="3"/>
    <x v="74"/>
    <n v="68"/>
    <x v="1"/>
    <d v="2024-10-18T00:00:00"/>
    <x v="3"/>
  </r>
  <r>
    <s v="DBK-CMP-100827"/>
    <s v="DBK-CUS-500827"/>
    <x v="7"/>
    <x v="3"/>
    <x v="222"/>
    <n v="23"/>
    <x v="1"/>
    <d v="2024-05-29T00:00:00"/>
    <x v="3"/>
  </r>
  <r>
    <s v="DBK-CMP-100828"/>
    <s v="DBK-CUS-500828"/>
    <x v="3"/>
    <x v="0"/>
    <x v="180"/>
    <n v="40"/>
    <x v="0"/>
    <m/>
    <x v="0"/>
  </r>
  <r>
    <s v="DBK-CMP-100829"/>
    <s v="DBK-CUS-500829"/>
    <x v="7"/>
    <x v="2"/>
    <x v="291"/>
    <n v="9"/>
    <x v="1"/>
    <d v="2024-03-04T00:00:00"/>
    <x v="1"/>
  </r>
  <r>
    <s v="DBK-CMP-100830"/>
    <s v="DBK-CUS-500830"/>
    <x v="4"/>
    <x v="3"/>
    <x v="97"/>
    <n v="15"/>
    <x v="1"/>
    <d v="2024-02-19T00:00:00"/>
    <x v="5"/>
  </r>
  <r>
    <s v="DBK-CMP-100831"/>
    <s v="DBK-CUS-500831"/>
    <x v="2"/>
    <x v="1"/>
    <x v="246"/>
    <n v="65"/>
    <x v="1"/>
    <d v="2024-09-06T00:00:00"/>
    <x v="4"/>
  </r>
  <r>
    <s v="DBK-CMP-100832"/>
    <s v="DBK-CUS-500832"/>
    <x v="6"/>
    <x v="3"/>
    <x v="280"/>
    <n v="6"/>
    <x v="1"/>
    <d v="2024-12-16T00:00:00"/>
    <x v="3"/>
  </r>
  <r>
    <s v="DBK-CMP-100833"/>
    <s v="DBK-CUS-500833"/>
    <x v="4"/>
    <x v="3"/>
    <x v="216"/>
    <n v="51"/>
    <x v="1"/>
    <d v="2024-05-11T00:00:00"/>
    <x v="4"/>
  </r>
  <r>
    <s v="DBK-CMP-100834"/>
    <s v="DBK-CUS-500834"/>
    <x v="7"/>
    <x v="0"/>
    <x v="323"/>
    <n v="2"/>
    <x v="1"/>
    <d v="2024-07-20T00:00:00"/>
    <x v="3"/>
  </r>
  <r>
    <s v="DBK-CMP-100835"/>
    <s v="DBK-CUS-500835"/>
    <x v="2"/>
    <x v="3"/>
    <x v="174"/>
    <n v="94"/>
    <x v="0"/>
    <m/>
    <x v="0"/>
  </r>
  <r>
    <s v="DBK-CMP-100836"/>
    <s v="DBK-CUS-500836"/>
    <x v="7"/>
    <x v="1"/>
    <x v="192"/>
    <n v="13"/>
    <x v="1"/>
    <d v="2024-02-11T00:00:00"/>
    <x v="5"/>
  </r>
  <r>
    <s v="DBK-CMP-100837"/>
    <s v="DBK-CUS-500837"/>
    <x v="2"/>
    <x v="4"/>
    <x v="86"/>
    <n v="60"/>
    <x v="0"/>
    <m/>
    <x v="0"/>
  </r>
  <r>
    <s v="DBK-CMP-100838"/>
    <s v="DBK-CUS-500838"/>
    <x v="4"/>
    <x v="0"/>
    <x v="199"/>
    <n v="49"/>
    <x v="1"/>
    <d v="2024-12-06T00:00:00"/>
    <x v="4"/>
  </r>
  <r>
    <s v="DBK-CMP-100839"/>
    <s v="DBK-CUS-500839"/>
    <x v="5"/>
    <x v="2"/>
    <x v="55"/>
    <n v="10"/>
    <x v="2"/>
    <m/>
    <x v="0"/>
  </r>
  <r>
    <s v="DBK-CMP-100840"/>
    <s v="DBK-CUS-500840"/>
    <x v="2"/>
    <x v="0"/>
    <x v="159"/>
    <n v="26"/>
    <x v="1"/>
    <d v="2024-08-06T00:00:00"/>
    <x v="2"/>
  </r>
  <r>
    <s v="DBK-CMP-100841"/>
    <s v="DBK-CUS-500841"/>
    <x v="5"/>
    <x v="0"/>
    <x v="45"/>
    <n v="3"/>
    <x v="0"/>
    <m/>
    <x v="0"/>
  </r>
  <r>
    <s v="DBK-CMP-100842"/>
    <s v="DBK-CUS-500842"/>
    <x v="7"/>
    <x v="0"/>
    <x v="320"/>
    <n v="18"/>
    <x v="2"/>
    <m/>
    <x v="0"/>
  </r>
  <r>
    <s v="DBK-CMP-100843"/>
    <s v="DBK-CUS-500843"/>
    <x v="3"/>
    <x v="2"/>
    <x v="163"/>
    <n v="54"/>
    <x v="2"/>
    <m/>
    <x v="0"/>
  </r>
  <r>
    <s v="DBK-CMP-100844"/>
    <s v="DBK-CUS-500844"/>
    <x v="1"/>
    <x v="2"/>
    <x v="56"/>
    <n v="6"/>
    <x v="1"/>
    <d v="2024-07-14T00:00:00"/>
    <x v="3"/>
  </r>
  <r>
    <s v="DBK-CMP-100845"/>
    <s v="DBK-CUS-500845"/>
    <x v="5"/>
    <x v="2"/>
    <x v="127"/>
    <n v="10"/>
    <x v="1"/>
    <d v="2024-02-20T00:00:00"/>
    <x v="1"/>
  </r>
  <r>
    <s v="DBK-CMP-100846"/>
    <s v="DBK-CUS-500846"/>
    <x v="3"/>
    <x v="1"/>
    <x v="265"/>
    <n v="28"/>
    <x v="2"/>
    <m/>
    <x v="0"/>
  </r>
  <r>
    <s v="DBK-CMP-100847"/>
    <s v="DBK-CUS-500847"/>
    <x v="0"/>
    <x v="1"/>
    <x v="145"/>
    <n v="11"/>
    <x v="1"/>
    <d v="2024-04-28T00:00:00"/>
    <x v="3"/>
  </r>
  <r>
    <s v="DBK-CMP-100848"/>
    <s v="DBK-CUS-500848"/>
    <x v="7"/>
    <x v="3"/>
    <x v="262"/>
    <n v="4"/>
    <x v="1"/>
    <d v="2024-01-04T00:00:00"/>
    <x v="3"/>
  </r>
  <r>
    <s v="DBK-CMP-100849"/>
    <s v="DBK-CUS-500849"/>
    <x v="7"/>
    <x v="1"/>
    <x v="301"/>
    <n v="11"/>
    <x v="1"/>
    <d v="2024-03-02T00:00:00"/>
    <x v="1"/>
  </r>
  <r>
    <s v="DBK-CMP-100850"/>
    <s v="DBK-CUS-500850"/>
    <x v="1"/>
    <x v="2"/>
    <x v="65"/>
    <n v="10"/>
    <x v="1"/>
    <d v="2024-03-22T00:00:00"/>
    <x v="1"/>
  </r>
  <r>
    <s v="DBK-CMP-100851"/>
    <s v="DBK-CUS-500851"/>
    <x v="5"/>
    <x v="3"/>
    <x v="228"/>
    <n v="2"/>
    <x v="1"/>
    <d v="2024-03-12T00:00:00"/>
    <x v="3"/>
  </r>
  <r>
    <s v="DBK-CMP-100852"/>
    <s v="DBK-CUS-500852"/>
    <x v="7"/>
    <x v="4"/>
    <x v="284"/>
    <n v="10"/>
    <x v="1"/>
    <d v="2024-01-25T00:00:00"/>
    <x v="1"/>
  </r>
  <r>
    <s v="DBK-CMP-100853"/>
    <s v="DBK-CUS-500853"/>
    <x v="6"/>
    <x v="3"/>
    <x v="4"/>
    <n v="12"/>
    <x v="0"/>
    <m/>
    <x v="0"/>
  </r>
  <r>
    <s v="DBK-CMP-100854"/>
    <s v="DBK-CUS-500854"/>
    <x v="2"/>
    <x v="0"/>
    <x v="172"/>
    <n v="34"/>
    <x v="1"/>
    <d v="2024-11-17T00:00:00"/>
    <x v="2"/>
  </r>
  <r>
    <s v="DBK-CMP-100855"/>
    <s v="DBK-CUS-500855"/>
    <x v="6"/>
    <x v="2"/>
    <x v="148"/>
    <n v="9"/>
    <x v="2"/>
    <m/>
    <x v="0"/>
  </r>
  <r>
    <s v="DBK-CMP-100856"/>
    <s v="DBK-CUS-500856"/>
    <x v="2"/>
    <x v="4"/>
    <x v="283"/>
    <n v="68"/>
    <x v="1"/>
    <d v="2024-02-10T00:00:00"/>
    <x v="4"/>
  </r>
  <r>
    <s v="DBK-CMP-100857"/>
    <s v="DBK-CUS-500857"/>
    <x v="3"/>
    <x v="2"/>
    <x v="279"/>
    <n v="58"/>
    <x v="0"/>
    <m/>
    <x v="0"/>
  </r>
  <r>
    <s v="DBK-CMP-100858"/>
    <s v="DBK-CUS-500858"/>
    <x v="0"/>
    <x v="1"/>
    <x v="305"/>
    <n v="44"/>
    <x v="1"/>
    <d v="2024-12-25T00:00:00"/>
    <x v="2"/>
  </r>
  <r>
    <s v="DBK-CMP-100859"/>
    <s v="DBK-CUS-500859"/>
    <x v="1"/>
    <x v="4"/>
    <x v="274"/>
    <n v="20"/>
    <x v="2"/>
    <m/>
    <x v="0"/>
  </r>
  <r>
    <s v="DBK-CMP-100860"/>
    <s v="DBK-CUS-500860"/>
    <x v="5"/>
    <x v="2"/>
    <x v="66"/>
    <n v="4"/>
    <x v="1"/>
    <d v="2024-05-14T00:00:00"/>
    <x v="3"/>
  </r>
  <r>
    <s v="DBK-CMP-100861"/>
    <s v="DBK-CUS-500861"/>
    <x v="7"/>
    <x v="4"/>
    <x v="3"/>
    <n v="4"/>
    <x v="0"/>
    <m/>
    <x v="0"/>
  </r>
  <r>
    <s v="DBK-CMP-100862"/>
    <s v="DBK-CUS-500862"/>
    <x v="2"/>
    <x v="1"/>
    <x v="1"/>
    <n v="93"/>
    <x v="1"/>
    <d v="2024-10-11T00:00:00"/>
    <x v="4"/>
  </r>
  <r>
    <s v="DBK-CMP-100863"/>
    <s v="DBK-CUS-500863"/>
    <x v="3"/>
    <x v="2"/>
    <x v="324"/>
    <n v="16"/>
    <x v="1"/>
    <d v="2024-10-10T00:00:00"/>
    <x v="5"/>
  </r>
  <r>
    <s v="DBK-CMP-100864"/>
    <s v="DBK-CUS-500864"/>
    <x v="7"/>
    <x v="4"/>
    <x v="59"/>
    <n v="9"/>
    <x v="1"/>
    <d v="2024-04-18T00:00:00"/>
    <x v="1"/>
  </r>
  <r>
    <s v="DBK-CMP-100865"/>
    <s v="DBK-CUS-500865"/>
    <x v="2"/>
    <x v="3"/>
    <x v="56"/>
    <n v="39"/>
    <x v="1"/>
    <d v="2024-07-15T00:00:00"/>
    <x v="3"/>
  </r>
  <r>
    <s v="DBK-CMP-100866"/>
    <s v="DBK-CUS-500866"/>
    <x v="6"/>
    <x v="3"/>
    <x v="198"/>
    <n v="15"/>
    <x v="2"/>
    <m/>
    <x v="0"/>
  </r>
  <r>
    <s v="DBK-CMP-100867"/>
    <s v="DBK-CUS-500867"/>
    <x v="7"/>
    <x v="1"/>
    <x v="12"/>
    <n v="21"/>
    <x v="0"/>
    <m/>
    <x v="0"/>
  </r>
  <r>
    <s v="DBK-CMP-100868"/>
    <s v="DBK-CUS-500868"/>
    <x v="6"/>
    <x v="4"/>
    <x v="293"/>
    <n v="13"/>
    <x v="1"/>
    <d v="2024-10-15T00:00:00"/>
    <x v="5"/>
  </r>
  <r>
    <s v="DBK-CMP-100869"/>
    <s v="DBK-CUS-500869"/>
    <x v="0"/>
    <x v="0"/>
    <x v="9"/>
    <n v="30"/>
    <x v="1"/>
    <d v="2024-03-18T00:00:00"/>
    <x v="2"/>
  </r>
  <r>
    <s v="DBK-CMP-100870"/>
    <s v="DBK-CUS-500870"/>
    <x v="6"/>
    <x v="2"/>
    <x v="262"/>
    <n v="3"/>
    <x v="1"/>
    <d v="2024-01-04T00:00:00"/>
    <x v="3"/>
  </r>
  <r>
    <s v="DBK-CMP-100871"/>
    <s v="DBK-CUS-500871"/>
    <x v="6"/>
    <x v="2"/>
    <x v="66"/>
    <n v="18"/>
    <x v="1"/>
    <d v="2024-05-14T00:00:00"/>
    <x v="5"/>
  </r>
  <r>
    <s v="DBK-CMP-100872"/>
    <s v="DBK-CUS-500872"/>
    <x v="7"/>
    <x v="3"/>
    <x v="325"/>
    <n v="10"/>
    <x v="1"/>
    <d v="2024-02-17T00:00:00"/>
    <x v="1"/>
  </r>
  <r>
    <s v="DBK-CMP-100873"/>
    <s v="DBK-CUS-500873"/>
    <x v="0"/>
    <x v="4"/>
    <x v="246"/>
    <n v="33"/>
    <x v="1"/>
    <d v="2024-09-05T00:00:00"/>
    <x v="3"/>
  </r>
  <r>
    <s v="DBK-CMP-100874"/>
    <s v="DBK-CUS-500874"/>
    <x v="4"/>
    <x v="2"/>
    <x v="0"/>
    <n v="26"/>
    <x v="2"/>
    <m/>
    <x v="0"/>
  </r>
  <r>
    <s v="DBK-CMP-100875"/>
    <s v="DBK-CUS-500875"/>
    <x v="5"/>
    <x v="2"/>
    <x v="134"/>
    <n v="7"/>
    <x v="1"/>
    <d v="2024-11-09T00:00:00"/>
    <x v="1"/>
  </r>
  <r>
    <s v="DBK-CMP-100876"/>
    <s v="DBK-CUS-500876"/>
    <x v="0"/>
    <x v="0"/>
    <x v="266"/>
    <n v="12"/>
    <x v="1"/>
    <d v="2024-09-01T00:00:00"/>
    <x v="1"/>
  </r>
  <r>
    <s v="DBK-CMP-100877"/>
    <s v="DBK-CUS-500877"/>
    <x v="0"/>
    <x v="4"/>
    <x v="63"/>
    <n v="6"/>
    <x v="2"/>
    <m/>
    <x v="0"/>
  </r>
  <r>
    <s v="DBK-CMP-100878"/>
    <s v="DBK-CUS-500878"/>
    <x v="7"/>
    <x v="0"/>
    <x v="270"/>
    <n v="14"/>
    <x v="1"/>
    <d v="2024-11-08T00:00:00"/>
    <x v="5"/>
  </r>
  <r>
    <s v="DBK-CMP-100879"/>
    <s v="DBK-CUS-500879"/>
    <x v="0"/>
    <x v="2"/>
    <x v="159"/>
    <n v="32"/>
    <x v="0"/>
    <m/>
    <x v="0"/>
  </r>
  <r>
    <s v="DBK-CMP-100880"/>
    <s v="DBK-CUS-500880"/>
    <x v="0"/>
    <x v="0"/>
    <x v="156"/>
    <n v="38"/>
    <x v="0"/>
    <m/>
    <x v="0"/>
  </r>
  <r>
    <s v="DBK-CMP-100881"/>
    <s v="DBK-CUS-500881"/>
    <x v="2"/>
    <x v="0"/>
    <x v="28"/>
    <n v="88"/>
    <x v="1"/>
    <d v="2024-08-03T00:00:00"/>
    <x v="3"/>
  </r>
  <r>
    <s v="DBK-CMP-100882"/>
    <s v="DBK-CUS-500882"/>
    <x v="6"/>
    <x v="1"/>
    <x v="157"/>
    <n v="20"/>
    <x v="0"/>
    <m/>
    <x v="0"/>
  </r>
  <r>
    <s v="DBK-CMP-100883"/>
    <s v="DBK-CUS-500883"/>
    <x v="1"/>
    <x v="1"/>
    <x v="231"/>
    <n v="31"/>
    <x v="2"/>
    <m/>
    <x v="0"/>
  </r>
  <r>
    <s v="DBK-CMP-100884"/>
    <s v="DBK-CUS-500884"/>
    <x v="6"/>
    <x v="0"/>
    <x v="154"/>
    <n v="17"/>
    <x v="2"/>
    <m/>
    <x v="0"/>
  </r>
  <r>
    <s v="DBK-CMP-100885"/>
    <s v="DBK-CUS-500885"/>
    <x v="3"/>
    <x v="4"/>
    <x v="326"/>
    <n v="58"/>
    <x v="1"/>
    <d v="2024-10-21T00:00:00"/>
    <x v="4"/>
  </r>
  <r>
    <s v="DBK-CMP-100886"/>
    <s v="DBK-CUS-500886"/>
    <x v="4"/>
    <x v="0"/>
    <x v="293"/>
    <n v="62"/>
    <x v="1"/>
    <d v="2024-10-17T00:00:00"/>
    <x v="4"/>
  </r>
  <r>
    <s v="DBK-CMP-100887"/>
    <s v="DBK-CUS-500887"/>
    <x v="0"/>
    <x v="3"/>
    <x v="28"/>
    <n v="39"/>
    <x v="1"/>
    <d v="2024-08-01T00:00:00"/>
    <x v="3"/>
  </r>
  <r>
    <s v="DBK-CMP-100888"/>
    <s v="DBK-CUS-500888"/>
    <x v="1"/>
    <x v="2"/>
    <x v="113"/>
    <n v="32"/>
    <x v="1"/>
    <d v="2024-12-20T00:00:00"/>
    <x v="3"/>
  </r>
  <r>
    <s v="DBK-CMP-100889"/>
    <s v="DBK-CUS-500889"/>
    <x v="6"/>
    <x v="0"/>
    <x v="320"/>
    <n v="16"/>
    <x v="1"/>
    <d v="2024-06-29T00:00:00"/>
    <x v="5"/>
  </r>
  <r>
    <s v="DBK-CMP-100890"/>
    <s v="DBK-CUS-500890"/>
    <x v="2"/>
    <x v="4"/>
    <x v="106"/>
    <n v="27"/>
    <x v="1"/>
    <d v="2024-04-05T00:00:00"/>
    <x v="2"/>
  </r>
  <r>
    <s v="DBK-CMP-100891"/>
    <s v="DBK-CUS-500891"/>
    <x v="5"/>
    <x v="2"/>
    <x v="33"/>
    <n v="10"/>
    <x v="1"/>
    <d v="2024-01-13T00:00:00"/>
    <x v="1"/>
  </r>
  <r>
    <s v="DBK-CMP-100892"/>
    <s v="DBK-CUS-500892"/>
    <x v="7"/>
    <x v="4"/>
    <x v="128"/>
    <n v="18"/>
    <x v="1"/>
    <d v="2024-02-27T00:00:00"/>
    <x v="5"/>
  </r>
  <r>
    <s v="DBK-CMP-100893"/>
    <s v="DBK-CUS-500893"/>
    <x v="0"/>
    <x v="1"/>
    <x v="16"/>
    <n v="15"/>
    <x v="0"/>
    <m/>
    <x v="0"/>
  </r>
  <r>
    <s v="DBK-CMP-100894"/>
    <s v="DBK-CUS-500894"/>
    <x v="6"/>
    <x v="0"/>
    <x v="41"/>
    <n v="7"/>
    <x v="1"/>
    <d v="2024-12-30T00:00:00"/>
    <x v="3"/>
  </r>
  <r>
    <s v="DBK-CMP-100895"/>
    <s v="DBK-CUS-500895"/>
    <x v="3"/>
    <x v="0"/>
    <x v="85"/>
    <n v="40"/>
    <x v="1"/>
    <d v="2024-10-05T00:00:00"/>
    <x v="2"/>
  </r>
  <r>
    <s v="DBK-CMP-100896"/>
    <s v="DBK-CUS-500896"/>
    <x v="1"/>
    <x v="1"/>
    <x v="150"/>
    <n v="13"/>
    <x v="1"/>
    <d v="2024-02-21T00:00:00"/>
    <x v="5"/>
  </r>
  <r>
    <s v="DBK-CMP-100897"/>
    <s v="DBK-CUS-500897"/>
    <x v="3"/>
    <x v="0"/>
    <x v="190"/>
    <n v="20"/>
    <x v="1"/>
    <d v="2024-07-11T00:00:00"/>
    <x v="5"/>
  </r>
  <r>
    <s v="DBK-CMP-100898"/>
    <s v="DBK-CUS-500898"/>
    <x v="6"/>
    <x v="1"/>
    <x v="287"/>
    <n v="15"/>
    <x v="0"/>
    <m/>
    <x v="0"/>
  </r>
  <r>
    <s v="DBK-CMP-100899"/>
    <s v="DBK-CUS-500899"/>
    <x v="1"/>
    <x v="3"/>
    <x v="233"/>
    <n v="19"/>
    <x v="1"/>
    <d v="2024-08-01T00:00:00"/>
    <x v="5"/>
  </r>
  <r>
    <s v="DBK-CMP-100900"/>
    <s v="DBK-CUS-500900"/>
    <x v="3"/>
    <x v="4"/>
    <x v="223"/>
    <n v="45"/>
    <x v="1"/>
    <d v="2024-03-30T00:00:00"/>
    <x v="2"/>
  </r>
  <r>
    <s v="DBK-CMP-100901"/>
    <s v="DBK-CUS-500901"/>
    <x v="7"/>
    <x v="0"/>
    <x v="327"/>
    <n v="4"/>
    <x v="0"/>
    <m/>
    <x v="0"/>
  </r>
  <r>
    <s v="DBK-CMP-100902"/>
    <s v="DBK-CUS-500902"/>
    <x v="2"/>
    <x v="4"/>
    <x v="236"/>
    <n v="94"/>
    <x v="0"/>
    <m/>
    <x v="0"/>
  </r>
  <r>
    <s v="DBK-CMP-100903"/>
    <s v="DBK-CUS-500903"/>
    <x v="6"/>
    <x v="4"/>
    <x v="275"/>
    <n v="20"/>
    <x v="1"/>
    <d v="2024-01-11T00:00:00"/>
    <x v="5"/>
  </r>
  <r>
    <s v="DBK-CMP-100904"/>
    <s v="DBK-CUS-500904"/>
    <x v="2"/>
    <x v="1"/>
    <x v="5"/>
    <n v="45"/>
    <x v="2"/>
    <m/>
    <x v="0"/>
  </r>
  <r>
    <s v="DBK-CMP-100905"/>
    <s v="DBK-CUS-500905"/>
    <x v="3"/>
    <x v="2"/>
    <x v="233"/>
    <n v="10"/>
    <x v="2"/>
    <m/>
    <x v="0"/>
  </r>
  <r>
    <s v="DBK-CMP-100906"/>
    <s v="DBK-CUS-500906"/>
    <x v="5"/>
    <x v="2"/>
    <x v="84"/>
    <n v="8"/>
    <x v="1"/>
    <d v="2024-09-27T00:00:00"/>
    <x v="1"/>
  </r>
  <r>
    <s v="DBK-CMP-100907"/>
    <s v="DBK-CUS-500907"/>
    <x v="5"/>
    <x v="4"/>
    <x v="95"/>
    <n v="11"/>
    <x v="0"/>
    <m/>
    <x v="0"/>
  </r>
  <r>
    <s v="DBK-CMP-100908"/>
    <s v="DBK-CUS-500908"/>
    <x v="1"/>
    <x v="0"/>
    <x v="137"/>
    <n v="12"/>
    <x v="0"/>
    <m/>
    <x v="0"/>
  </r>
  <r>
    <s v="DBK-CMP-100909"/>
    <s v="DBK-CUS-500909"/>
    <x v="2"/>
    <x v="0"/>
    <x v="75"/>
    <n v="32"/>
    <x v="1"/>
    <d v="2024-03-24T00:00:00"/>
    <x v="2"/>
  </r>
  <r>
    <s v="DBK-CMP-100910"/>
    <s v="DBK-CUS-500910"/>
    <x v="3"/>
    <x v="1"/>
    <x v="251"/>
    <n v="54"/>
    <x v="0"/>
    <m/>
    <x v="0"/>
  </r>
  <r>
    <s v="DBK-CMP-100911"/>
    <s v="DBK-CUS-500911"/>
    <x v="0"/>
    <x v="3"/>
    <x v="299"/>
    <n v="13"/>
    <x v="1"/>
    <d v="2024-05-28T00:00:00"/>
    <x v="5"/>
  </r>
  <r>
    <s v="DBK-CMP-100912"/>
    <s v="DBK-CUS-500912"/>
    <x v="2"/>
    <x v="4"/>
    <x v="8"/>
    <n v="53"/>
    <x v="1"/>
    <d v="2024-07-18T00:00:00"/>
    <x v="3"/>
  </r>
  <r>
    <s v="DBK-CMP-100913"/>
    <s v="DBK-CUS-500913"/>
    <x v="4"/>
    <x v="0"/>
    <x v="29"/>
    <n v="72"/>
    <x v="0"/>
    <m/>
    <x v="0"/>
  </r>
  <r>
    <s v="DBK-CMP-100914"/>
    <s v="DBK-CUS-500914"/>
    <x v="6"/>
    <x v="2"/>
    <x v="326"/>
    <n v="5"/>
    <x v="1"/>
    <d v="2024-10-19T00:00:00"/>
    <x v="3"/>
  </r>
  <r>
    <s v="DBK-CMP-100915"/>
    <s v="DBK-CUS-500915"/>
    <x v="5"/>
    <x v="3"/>
    <x v="15"/>
    <n v="7"/>
    <x v="1"/>
    <d v="2024-08-28T00:00:00"/>
    <x v="1"/>
  </r>
  <r>
    <s v="DBK-CMP-100916"/>
    <s v="DBK-CUS-500916"/>
    <x v="5"/>
    <x v="4"/>
    <x v="131"/>
    <n v="12"/>
    <x v="1"/>
    <d v="2024-06-15T00:00:00"/>
    <x v="1"/>
  </r>
  <r>
    <s v="DBK-CMP-100917"/>
    <s v="DBK-CUS-500917"/>
    <x v="3"/>
    <x v="3"/>
    <x v="0"/>
    <n v="58"/>
    <x v="1"/>
    <d v="2024-10-22T00:00:00"/>
    <x v="4"/>
  </r>
  <r>
    <s v="DBK-CMP-100918"/>
    <s v="DBK-CUS-500918"/>
    <x v="2"/>
    <x v="4"/>
    <x v="310"/>
    <n v="94"/>
    <x v="1"/>
    <d v="2024-10-26T00:00:00"/>
    <x v="4"/>
  </r>
  <r>
    <s v="DBK-CMP-100919"/>
    <s v="DBK-CUS-500919"/>
    <x v="4"/>
    <x v="1"/>
    <x v="328"/>
    <n v="11"/>
    <x v="1"/>
    <d v="2024-08-10T00:00:00"/>
    <x v="1"/>
  </r>
  <r>
    <s v="DBK-CMP-100920"/>
    <s v="DBK-CUS-500920"/>
    <x v="0"/>
    <x v="0"/>
    <x v="129"/>
    <n v="10"/>
    <x v="0"/>
    <m/>
    <x v="0"/>
  </r>
  <r>
    <s v="DBK-CMP-100921"/>
    <s v="DBK-CUS-500921"/>
    <x v="0"/>
    <x v="4"/>
    <x v="5"/>
    <n v="27"/>
    <x v="2"/>
    <m/>
    <x v="0"/>
  </r>
  <r>
    <s v="DBK-CMP-100922"/>
    <s v="DBK-CUS-500922"/>
    <x v="1"/>
    <x v="3"/>
    <x v="208"/>
    <n v="33"/>
    <x v="0"/>
    <m/>
    <x v="0"/>
  </r>
  <r>
    <s v="DBK-CMP-100923"/>
    <s v="DBK-CUS-500923"/>
    <x v="2"/>
    <x v="3"/>
    <x v="254"/>
    <n v="71"/>
    <x v="0"/>
    <m/>
    <x v="0"/>
  </r>
  <r>
    <s v="DBK-CMP-100924"/>
    <s v="DBK-CUS-500924"/>
    <x v="2"/>
    <x v="3"/>
    <x v="325"/>
    <n v="26"/>
    <x v="2"/>
    <m/>
    <x v="0"/>
  </r>
  <r>
    <s v="DBK-CMP-100925"/>
    <s v="DBK-CUS-500925"/>
    <x v="3"/>
    <x v="0"/>
    <x v="187"/>
    <n v="36"/>
    <x v="2"/>
    <m/>
    <x v="0"/>
  </r>
  <r>
    <s v="DBK-CMP-100926"/>
    <s v="DBK-CUS-500926"/>
    <x v="6"/>
    <x v="0"/>
    <x v="329"/>
    <n v="14"/>
    <x v="1"/>
    <d v="2024-11-21T00:00:00"/>
    <x v="3"/>
  </r>
  <r>
    <s v="DBK-CMP-100927"/>
    <s v="DBK-CUS-500927"/>
    <x v="0"/>
    <x v="3"/>
    <x v="156"/>
    <n v="19"/>
    <x v="0"/>
    <m/>
    <x v="0"/>
  </r>
  <r>
    <s v="DBK-CMP-100928"/>
    <s v="DBK-CUS-500928"/>
    <x v="6"/>
    <x v="2"/>
    <x v="121"/>
    <n v="4"/>
    <x v="2"/>
    <m/>
    <x v="0"/>
  </r>
  <r>
    <s v="DBK-CMP-100929"/>
    <s v="DBK-CUS-500929"/>
    <x v="4"/>
    <x v="3"/>
    <x v="18"/>
    <n v="57"/>
    <x v="0"/>
    <m/>
    <x v="0"/>
  </r>
  <r>
    <s v="DBK-CMP-100930"/>
    <s v="DBK-CUS-500930"/>
    <x v="4"/>
    <x v="0"/>
    <x v="152"/>
    <n v="26"/>
    <x v="0"/>
    <m/>
    <x v="0"/>
  </r>
  <r>
    <s v="DBK-CMP-100931"/>
    <s v="DBK-CUS-500931"/>
    <x v="4"/>
    <x v="1"/>
    <x v="20"/>
    <n v="15"/>
    <x v="1"/>
    <d v="2024-02-29T00:00:00"/>
    <x v="3"/>
  </r>
  <r>
    <s v="DBK-CMP-100932"/>
    <s v="DBK-CUS-500932"/>
    <x v="0"/>
    <x v="3"/>
    <x v="330"/>
    <n v="34"/>
    <x v="1"/>
    <d v="2024-12-21T00:00:00"/>
    <x v="2"/>
  </r>
  <r>
    <s v="DBK-CMP-100933"/>
    <s v="DBK-CUS-500933"/>
    <x v="4"/>
    <x v="0"/>
    <x v="271"/>
    <n v="47"/>
    <x v="1"/>
    <d v="2024-09-04T00:00:00"/>
    <x v="3"/>
  </r>
  <r>
    <s v="DBK-CMP-100934"/>
    <s v="DBK-CUS-500934"/>
    <x v="0"/>
    <x v="2"/>
    <x v="129"/>
    <n v="8"/>
    <x v="1"/>
    <d v="2024-03-18T00:00:00"/>
    <x v="1"/>
  </r>
  <r>
    <s v="DBK-CMP-100935"/>
    <s v="DBK-CUS-500935"/>
    <x v="2"/>
    <x v="4"/>
    <x v="143"/>
    <n v="86"/>
    <x v="0"/>
    <m/>
    <x v="0"/>
  </r>
  <r>
    <s v="DBK-CMP-100936"/>
    <s v="DBK-CUS-500936"/>
    <x v="0"/>
    <x v="4"/>
    <x v="109"/>
    <n v="47"/>
    <x v="1"/>
    <d v="2024-10-19T00:00:00"/>
    <x v="2"/>
  </r>
  <r>
    <s v="DBK-CMP-100937"/>
    <s v="DBK-CUS-500937"/>
    <x v="6"/>
    <x v="0"/>
    <x v="26"/>
    <n v="13"/>
    <x v="1"/>
    <d v="2024-01-31T00:00:00"/>
    <x v="5"/>
  </r>
  <r>
    <s v="DBK-CMP-100938"/>
    <s v="DBK-CUS-500938"/>
    <x v="3"/>
    <x v="0"/>
    <x v="173"/>
    <n v="64"/>
    <x v="1"/>
    <d v="2024-10-04T00:00:00"/>
    <x v="4"/>
  </r>
  <r>
    <s v="DBK-CMP-100939"/>
    <s v="DBK-CUS-500939"/>
    <x v="1"/>
    <x v="3"/>
    <x v="331"/>
    <n v="14"/>
    <x v="1"/>
    <d v="2024-10-21T00:00:00"/>
    <x v="5"/>
  </r>
  <r>
    <s v="DBK-CMP-100940"/>
    <s v="DBK-CUS-500940"/>
    <x v="0"/>
    <x v="1"/>
    <x v="260"/>
    <n v="15"/>
    <x v="1"/>
    <d v="2024-06-10T00:00:00"/>
    <x v="5"/>
  </r>
  <r>
    <s v="DBK-CMP-100941"/>
    <s v="DBK-CUS-500941"/>
    <x v="2"/>
    <x v="4"/>
    <x v="229"/>
    <n v="72"/>
    <x v="1"/>
    <d v="2024-09-25T00:00:00"/>
    <x v="4"/>
  </r>
  <r>
    <s v="DBK-CMP-100942"/>
    <s v="DBK-CUS-500942"/>
    <x v="6"/>
    <x v="1"/>
    <x v="196"/>
    <n v="7"/>
    <x v="1"/>
    <d v="2024-08-04T00:00:00"/>
    <x v="1"/>
  </r>
  <r>
    <s v="DBK-CMP-100943"/>
    <s v="DBK-CUS-500943"/>
    <x v="5"/>
    <x v="2"/>
    <x v="87"/>
    <n v="6"/>
    <x v="2"/>
    <m/>
    <x v="0"/>
  </r>
  <r>
    <s v="DBK-CMP-100944"/>
    <s v="DBK-CUS-500944"/>
    <x v="3"/>
    <x v="1"/>
    <x v="234"/>
    <n v="46"/>
    <x v="1"/>
    <d v="2024-11-06T00:00:00"/>
    <x v="2"/>
  </r>
  <r>
    <s v="DBK-CMP-100945"/>
    <s v="DBK-CUS-500945"/>
    <x v="5"/>
    <x v="1"/>
    <x v="332"/>
    <n v="4"/>
    <x v="1"/>
    <d v="2024-08-03T00:00:00"/>
    <x v="3"/>
  </r>
  <r>
    <s v="DBK-CMP-100946"/>
    <s v="DBK-CUS-500946"/>
    <x v="5"/>
    <x v="4"/>
    <x v="164"/>
    <n v="7"/>
    <x v="1"/>
    <d v="2024-02-09T00:00:00"/>
    <x v="1"/>
  </r>
  <r>
    <s v="DBK-CMP-100947"/>
    <s v="DBK-CUS-500947"/>
    <x v="4"/>
    <x v="4"/>
    <x v="178"/>
    <n v="50"/>
    <x v="1"/>
    <d v="2024-02-20T00:00:00"/>
    <x v="4"/>
  </r>
  <r>
    <s v="DBK-CMP-100948"/>
    <s v="DBK-CUS-500948"/>
    <x v="7"/>
    <x v="0"/>
    <x v="41"/>
    <n v="3"/>
    <x v="0"/>
    <m/>
    <x v="0"/>
  </r>
  <r>
    <s v="DBK-CMP-100949"/>
    <s v="DBK-CUS-500949"/>
    <x v="4"/>
    <x v="3"/>
    <x v="63"/>
    <n v="22"/>
    <x v="1"/>
    <d v="2024-02-15T00:00:00"/>
    <x v="5"/>
  </r>
  <r>
    <s v="DBK-CMP-100950"/>
    <s v="DBK-CUS-500950"/>
    <x v="1"/>
    <x v="4"/>
    <x v="17"/>
    <n v="32"/>
    <x v="0"/>
    <m/>
    <x v="0"/>
  </r>
  <r>
    <s v="DBK-CMP-100951"/>
    <s v="DBK-CUS-500951"/>
    <x v="0"/>
    <x v="3"/>
    <x v="239"/>
    <n v="16"/>
    <x v="0"/>
    <m/>
    <x v="0"/>
  </r>
  <r>
    <s v="DBK-CMP-100952"/>
    <s v="DBK-CUS-500952"/>
    <x v="1"/>
    <x v="2"/>
    <x v="140"/>
    <n v="23"/>
    <x v="2"/>
    <m/>
    <x v="0"/>
  </r>
  <r>
    <s v="DBK-CMP-100953"/>
    <s v="DBK-CUS-500953"/>
    <x v="5"/>
    <x v="4"/>
    <x v="15"/>
    <n v="9"/>
    <x v="1"/>
    <d v="2024-08-28T00:00:00"/>
    <x v="1"/>
  </r>
  <r>
    <s v="DBK-CMP-100954"/>
    <s v="DBK-CUS-500954"/>
    <x v="2"/>
    <x v="1"/>
    <x v="251"/>
    <n v="76"/>
    <x v="1"/>
    <d v="2024-08-21T00:00:00"/>
    <x v="4"/>
  </r>
  <r>
    <s v="DBK-CMP-100955"/>
    <s v="DBK-CUS-500955"/>
    <x v="6"/>
    <x v="0"/>
    <x v="159"/>
    <n v="21"/>
    <x v="1"/>
    <d v="2024-08-05T00:00:00"/>
    <x v="5"/>
  </r>
  <r>
    <s v="DBK-CMP-100956"/>
    <s v="DBK-CUS-500956"/>
    <x v="6"/>
    <x v="2"/>
    <x v="181"/>
    <n v="3"/>
    <x v="1"/>
    <d v="2024-09-23T00:00:00"/>
    <x v="3"/>
  </r>
  <r>
    <s v="DBK-CMP-100957"/>
    <s v="DBK-CUS-500957"/>
    <x v="6"/>
    <x v="2"/>
    <x v="239"/>
    <n v="8"/>
    <x v="1"/>
    <d v="2024-02-22T00:00:00"/>
    <x v="1"/>
  </r>
  <r>
    <s v="DBK-CMP-100958"/>
    <s v="DBK-CUS-500958"/>
    <x v="1"/>
    <x v="3"/>
    <x v="305"/>
    <n v="14"/>
    <x v="1"/>
    <d v="2024-12-24T00:00:00"/>
    <x v="5"/>
  </r>
  <r>
    <s v="DBK-CMP-100959"/>
    <s v="DBK-CUS-500959"/>
    <x v="2"/>
    <x v="2"/>
    <x v="297"/>
    <n v="84"/>
    <x v="0"/>
    <m/>
    <x v="0"/>
  </r>
  <r>
    <s v="DBK-CMP-100960"/>
    <s v="DBK-CUS-500960"/>
    <x v="3"/>
    <x v="3"/>
    <x v="34"/>
    <n v="45"/>
    <x v="1"/>
    <d v="2024-08-09T00:00:00"/>
    <x v="2"/>
  </r>
  <r>
    <s v="DBK-CMP-100961"/>
    <s v="DBK-CUS-500961"/>
    <x v="1"/>
    <x v="1"/>
    <x v="107"/>
    <n v="31"/>
    <x v="1"/>
    <d v="2024-11-01T00:00:00"/>
    <x v="3"/>
  </r>
  <r>
    <s v="DBK-CMP-100962"/>
    <s v="DBK-CUS-500962"/>
    <x v="6"/>
    <x v="0"/>
    <x v="244"/>
    <n v="11"/>
    <x v="1"/>
    <d v="2024-02-05T00:00:00"/>
    <x v="1"/>
  </r>
  <r>
    <s v="DBK-CMP-100963"/>
    <s v="DBK-CUS-500963"/>
    <x v="2"/>
    <x v="4"/>
    <x v="333"/>
    <n v="96"/>
    <x v="1"/>
    <d v="2024-09-18T00:00:00"/>
    <x v="3"/>
  </r>
  <r>
    <s v="DBK-CMP-100964"/>
    <s v="DBK-CUS-500964"/>
    <x v="3"/>
    <x v="3"/>
    <x v="54"/>
    <n v="38"/>
    <x v="1"/>
    <d v="2024-05-20T00:00:00"/>
    <x v="2"/>
  </r>
  <r>
    <s v="DBK-CMP-100965"/>
    <s v="DBK-CUS-500965"/>
    <x v="6"/>
    <x v="0"/>
    <x v="294"/>
    <n v="7"/>
    <x v="0"/>
    <m/>
    <x v="0"/>
  </r>
  <r>
    <s v="DBK-CMP-100966"/>
    <s v="DBK-CUS-500966"/>
    <x v="5"/>
    <x v="3"/>
    <x v="12"/>
    <n v="5"/>
    <x v="1"/>
    <d v="2024-08-20T00:00:00"/>
    <x v="3"/>
  </r>
  <r>
    <s v="DBK-CMP-100967"/>
    <s v="DBK-CUS-500967"/>
    <x v="6"/>
    <x v="4"/>
    <x v="224"/>
    <n v="23"/>
    <x v="0"/>
    <m/>
    <x v="0"/>
  </r>
  <r>
    <s v="DBK-CMP-100968"/>
    <s v="DBK-CUS-500968"/>
    <x v="2"/>
    <x v="0"/>
    <x v="81"/>
    <n v="53"/>
    <x v="1"/>
    <d v="2024-02-15T00:00:00"/>
    <x v="4"/>
  </r>
  <r>
    <s v="DBK-CMP-100969"/>
    <s v="DBK-CUS-500969"/>
    <x v="4"/>
    <x v="1"/>
    <x v="256"/>
    <n v="64"/>
    <x v="2"/>
    <m/>
    <x v="0"/>
  </r>
  <r>
    <s v="DBK-CMP-100970"/>
    <s v="DBK-CUS-500970"/>
    <x v="6"/>
    <x v="2"/>
    <x v="160"/>
    <n v="3"/>
    <x v="1"/>
    <d v="2024-03-15T00:00:00"/>
    <x v="3"/>
  </r>
  <r>
    <s v="DBK-CMP-100971"/>
    <s v="DBK-CUS-500971"/>
    <x v="0"/>
    <x v="1"/>
    <x v="263"/>
    <n v="29"/>
    <x v="1"/>
    <d v="2024-07-10T00:00:00"/>
    <x v="2"/>
  </r>
  <r>
    <s v="DBK-CMP-100972"/>
    <s v="DBK-CUS-500972"/>
    <x v="3"/>
    <x v="3"/>
    <x v="180"/>
    <n v="37"/>
    <x v="1"/>
    <d v="2024-08-18T00:00:00"/>
    <x v="2"/>
  </r>
  <r>
    <s v="DBK-CMP-100973"/>
    <s v="DBK-CUS-500973"/>
    <x v="4"/>
    <x v="3"/>
    <x v="58"/>
    <n v="46"/>
    <x v="1"/>
    <d v="2024-04-17T00:00:00"/>
    <x v="2"/>
  </r>
  <r>
    <s v="DBK-CMP-100974"/>
    <s v="DBK-CUS-500974"/>
    <x v="0"/>
    <x v="4"/>
    <x v="224"/>
    <n v="41"/>
    <x v="2"/>
    <m/>
    <x v="0"/>
  </r>
  <r>
    <s v="DBK-CMP-100975"/>
    <s v="DBK-CUS-500975"/>
    <x v="3"/>
    <x v="0"/>
    <x v="166"/>
    <n v="24"/>
    <x v="2"/>
    <m/>
    <x v="0"/>
  </r>
  <r>
    <s v="DBK-CMP-100976"/>
    <s v="DBK-CUS-500976"/>
    <x v="0"/>
    <x v="4"/>
    <x v="192"/>
    <n v="10"/>
    <x v="1"/>
    <d v="2024-02-11T00:00:00"/>
    <x v="1"/>
  </r>
  <r>
    <s v="DBK-CMP-100977"/>
    <s v="DBK-CUS-500977"/>
    <x v="3"/>
    <x v="2"/>
    <x v="41"/>
    <n v="7"/>
    <x v="1"/>
    <d v="2024-12-30T00:00:00"/>
    <x v="1"/>
  </r>
  <r>
    <s v="DBK-CMP-100978"/>
    <s v="DBK-CUS-500978"/>
    <x v="2"/>
    <x v="0"/>
    <x v="55"/>
    <n v="50"/>
    <x v="1"/>
    <d v="2025-01-02T00:00:00"/>
    <x v="3"/>
  </r>
  <r>
    <s v="DBK-CMP-100979"/>
    <s v="DBK-CUS-500979"/>
    <x v="6"/>
    <x v="2"/>
    <x v="161"/>
    <n v="16"/>
    <x v="1"/>
    <d v="2024-04-13T00:00:00"/>
    <x v="5"/>
  </r>
  <r>
    <s v="DBK-CMP-100980"/>
    <s v="DBK-CUS-500980"/>
    <x v="1"/>
    <x v="0"/>
    <x v="193"/>
    <n v="16"/>
    <x v="1"/>
    <d v="2024-02-03T00:00:00"/>
    <x v="5"/>
  </r>
  <r>
    <s v="DBK-CMP-100981"/>
    <s v="DBK-CUS-500981"/>
    <x v="7"/>
    <x v="4"/>
    <x v="334"/>
    <n v="15"/>
    <x v="1"/>
    <d v="2024-01-06T00:00:00"/>
    <x v="3"/>
  </r>
  <r>
    <s v="DBK-CMP-100982"/>
    <s v="DBK-CUS-500982"/>
    <x v="2"/>
    <x v="1"/>
    <x v="226"/>
    <n v="39"/>
    <x v="1"/>
    <d v="2024-06-07T00:00:00"/>
    <x v="2"/>
  </r>
  <r>
    <s v="DBK-CMP-100983"/>
    <s v="DBK-CUS-500983"/>
    <x v="1"/>
    <x v="4"/>
    <x v="335"/>
    <n v="6"/>
    <x v="1"/>
    <d v="2024-05-12T00:00:00"/>
    <x v="3"/>
  </r>
  <r>
    <s v="DBK-CMP-100984"/>
    <s v="DBK-CUS-500984"/>
    <x v="6"/>
    <x v="0"/>
    <x v="335"/>
    <n v="5"/>
    <x v="1"/>
    <d v="2024-05-12T00:00:00"/>
    <x v="3"/>
  </r>
  <r>
    <s v="DBK-CMP-100985"/>
    <s v="DBK-CUS-500985"/>
    <x v="5"/>
    <x v="3"/>
    <x v="336"/>
    <n v="9"/>
    <x v="2"/>
    <m/>
    <x v="0"/>
  </r>
  <r>
    <s v="DBK-CMP-100986"/>
    <s v="DBK-CUS-500986"/>
    <x v="7"/>
    <x v="3"/>
    <x v="104"/>
    <n v="8"/>
    <x v="2"/>
    <m/>
    <x v="0"/>
  </r>
  <r>
    <s v="DBK-CMP-100987"/>
    <s v="DBK-CUS-500987"/>
    <x v="6"/>
    <x v="1"/>
    <x v="117"/>
    <n v="8"/>
    <x v="2"/>
    <m/>
    <x v="0"/>
  </r>
  <r>
    <s v="DBK-CMP-100988"/>
    <s v="DBK-CUS-500988"/>
    <x v="4"/>
    <x v="0"/>
    <x v="337"/>
    <n v="42"/>
    <x v="1"/>
    <d v="2024-09-08T00:00:00"/>
    <x v="2"/>
  </r>
  <r>
    <s v="DBK-CMP-100989"/>
    <s v="DBK-CUS-500989"/>
    <x v="5"/>
    <x v="2"/>
    <x v="124"/>
    <n v="7"/>
    <x v="1"/>
    <d v="2024-10-07T00:00:00"/>
    <x v="1"/>
  </r>
  <r>
    <s v="DBK-CMP-100990"/>
    <s v="DBK-CUS-500990"/>
    <x v="2"/>
    <x v="3"/>
    <x v="280"/>
    <n v="56"/>
    <x v="1"/>
    <d v="2024-12-18T00:00:00"/>
    <x v="4"/>
  </r>
  <r>
    <s v="DBK-CMP-100991"/>
    <s v="DBK-CUS-500991"/>
    <x v="5"/>
    <x v="1"/>
    <x v="232"/>
    <n v="6"/>
    <x v="0"/>
    <m/>
    <x v="0"/>
  </r>
  <r>
    <s v="DBK-CMP-100992"/>
    <s v="DBK-CUS-500992"/>
    <x v="1"/>
    <x v="1"/>
    <x v="27"/>
    <n v="8"/>
    <x v="1"/>
    <d v="2024-01-07T00:00:00"/>
    <x v="1"/>
  </r>
  <r>
    <s v="DBK-CMP-100993"/>
    <s v="DBK-CUS-500993"/>
    <x v="0"/>
    <x v="3"/>
    <x v="308"/>
    <n v="41"/>
    <x v="0"/>
    <m/>
    <x v="0"/>
  </r>
  <r>
    <s v="DBK-CMP-100994"/>
    <s v="DBK-CUS-500994"/>
    <x v="2"/>
    <x v="3"/>
    <x v="133"/>
    <n v="31"/>
    <x v="0"/>
    <m/>
    <x v="0"/>
  </r>
  <r>
    <s v="DBK-CMP-100995"/>
    <s v="DBK-CUS-500995"/>
    <x v="2"/>
    <x v="3"/>
    <x v="338"/>
    <n v="90"/>
    <x v="0"/>
    <m/>
    <x v="0"/>
  </r>
  <r>
    <s v="DBK-CMP-100996"/>
    <s v="DBK-CUS-500996"/>
    <x v="6"/>
    <x v="1"/>
    <x v="146"/>
    <n v="17"/>
    <x v="1"/>
    <d v="2024-08-19T00:00:00"/>
    <x v="5"/>
  </r>
  <r>
    <s v="DBK-CMP-100997"/>
    <s v="DBK-CUS-500997"/>
    <x v="1"/>
    <x v="2"/>
    <x v="167"/>
    <n v="11"/>
    <x v="0"/>
    <m/>
    <x v="0"/>
  </r>
  <r>
    <s v="DBK-CMP-100998"/>
    <s v="DBK-CUS-500998"/>
    <x v="7"/>
    <x v="0"/>
    <x v="4"/>
    <n v="24"/>
    <x v="2"/>
    <m/>
    <x v="0"/>
  </r>
  <r>
    <s v="DBK-CMP-100999"/>
    <s v="DBK-CUS-500999"/>
    <x v="6"/>
    <x v="3"/>
    <x v="222"/>
    <n v="22"/>
    <x v="0"/>
    <m/>
    <x v="0"/>
  </r>
  <r>
    <s v="DBK-CMP-101000"/>
    <s v="DBK-CUS-501000"/>
    <x v="0"/>
    <x v="3"/>
    <x v="63"/>
    <n v="4"/>
    <x v="2"/>
    <m/>
    <x v="0"/>
  </r>
  <r>
    <s v="DBK-CMP-101001"/>
    <s v="DBK-CUS-501001"/>
    <x v="1"/>
    <x v="1"/>
    <x v="285"/>
    <n v="27"/>
    <x v="1"/>
    <d v="2024-07-25T00:00:00"/>
    <x v="2"/>
  </r>
  <r>
    <s v="DBK-CMP-101002"/>
    <s v="DBK-CUS-501002"/>
    <x v="2"/>
    <x v="0"/>
    <x v="101"/>
    <n v="51"/>
    <x v="2"/>
    <m/>
    <x v="0"/>
  </r>
  <r>
    <s v="DBK-CMP-101003"/>
    <s v="DBK-CUS-501003"/>
    <x v="5"/>
    <x v="2"/>
    <x v="82"/>
    <n v="1"/>
    <x v="1"/>
    <d v="2024-09-28T00:00:00"/>
    <x v="3"/>
  </r>
  <r>
    <s v="DBK-CMP-101004"/>
    <s v="DBK-CUS-501004"/>
    <x v="0"/>
    <x v="1"/>
    <x v="38"/>
    <n v="27"/>
    <x v="1"/>
    <d v="2024-05-19T00:00:00"/>
    <x v="3"/>
  </r>
  <r>
    <s v="DBK-CMP-101005"/>
    <s v="DBK-CUS-501005"/>
    <x v="6"/>
    <x v="1"/>
    <x v="280"/>
    <n v="23"/>
    <x v="1"/>
    <d v="2024-12-16T00:00:00"/>
    <x v="5"/>
  </r>
  <r>
    <s v="DBK-CMP-101006"/>
    <s v="DBK-CUS-501006"/>
    <x v="0"/>
    <x v="0"/>
    <x v="187"/>
    <n v="45"/>
    <x v="1"/>
    <d v="2024-01-09T00:00:00"/>
    <x v="3"/>
  </r>
  <r>
    <s v="DBK-CMP-101007"/>
    <s v="DBK-CUS-501007"/>
    <x v="3"/>
    <x v="4"/>
    <x v="56"/>
    <n v="67"/>
    <x v="1"/>
    <d v="2024-07-16T00:00:00"/>
    <x v="4"/>
  </r>
  <r>
    <s v="DBK-CMP-101008"/>
    <s v="DBK-CUS-501008"/>
    <x v="6"/>
    <x v="1"/>
    <x v="11"/>
    <n v="10"/>
    <x v="1"/>
    <d v="2024-09-18T00:00:00"/>
    <x v="1"/>
  </r>
  <r>
    <s v="DBK-CMP-101009"/>
    <s v="DBK-CUS-501009"/>
    <x v="0"/>
    <x v="4"/>
    <x v="90"/>
    <n v="42"/>
    <x v="0"/>
    <m/>
    <x v="0"/>
  </r>
  <r>
    <s v="DBK-CMP-101010"/>
    <s v="DBK-CUS-501010"/>
    <x v="0"/>
    <x v="4"/>
    <x v="290"/>
    <n v="35"/>
    <x v="2"/>
    <m/>
    <x v="0"/>
  </r>
  <r>
    <s v="DBK-CMP-101011"/>
    <s v="DBK-CUS-501011"/>
    <x v="6"/>
    <x v="4"/>
    <x v="287"/>
    <n v="7"/>
    <x v="0"/>
    <m/>
    <x v="0"/>
  </r>
  <r>
    <s v="DBK-CMP-101012"/>
    <s v="DBK-CUS-501012"/>
    <x v="7"/>
    <x v="1"/>
    <x v="303"/>
    <n v="24"/>
    <x v="0"/>
    <m/>
    <x v="0"/>
  </r>
  <r>
    <s v="DBK-CMP-101013"/>
    <s v="DBK-CUS-501013"/>
    <x v="6"/>
    <x v="1"/>
    <x v="69"/>
    <n v="22"/>
    <x v="1"/>
    <d v="2024-11-14T00:00:00"/>
    <x v="5"/>
  </r>
  <r>
    <s v="DBK-CMP-101014"/>
    <s v="DBK-CUS-501014"/>
    <x v="7"/>
    <x v="4"/>
    <x v="339"/>
    <n v="11"/>
    <x v="0"/>
    <m/>
    <x v="0"/>
  </r>
  <r>
    <s v="DBK-CMP-101015"/>
    <s v="DBK-CUS-501015"/>
    <x v="1"/>
    <x v="0"/>
    <x v="287"/>
    <n v="23"/>
    <x v="1"/>
    <d v="2024-04-08T00:00:00"/>
    <x v="5"/>
  </r>
  <r>
    <s v="DBK-CMP-101016"/>
    <s v="DBK-CUS-501016"/>
    <x v="6"/>
    <x v="4"/>
    <x v="272"/>
    <n v="24"/>
    <x v="1"/>
    <d v="2024-08-31T00:00:00"/>
    <x v="3"/>
  </r>
  <r>
    <s v="DBK-CMP-101017"/>
    <s v="DBK-CUS-501017"/>
    <x v="4"/>
    <x v="4"/>
    <x v="96"/>
    <n v="13"/>
    <x v="1"/>
    <d v="2024-07-01T00:00:00"/>
    <x v="5"/>
  </r>
  <r>
    <s v="DBK-CMP-101018"/>
    <s v="DBK-CUS-501018"/>
    <x v="5"/>
    <x v="2"/>
    <x v="157"/>
    <n v="11"/>
    <x v="2"/>
    <m/>
    <x v="0"/>
  </r>
  <r>
    <s v="DBK-CMP-101019"/>
    <s v="DBK-CUS-501019"/>
    <x v="5"/>
    <x v="0"/>
    <x v="123"/>
    <n v="2"/>
    <x v="1"/>
    <d v="2024-06-25T00:00:00"/>
    <x v="3"/>
  </r>
  <r>
    <s v="DBK-CMP-101020"/>
    <s v="DBK-CUS-501020"/>
    <x v="0"/>
    <x v="0"/>
    <x v="104"/>
    <n v="43"/>
    <x v="1"/>
    <d v="2024-03-12T00:00:00"/>
    <x v="3"/>
  </r>
  <r>
    <s v="DBK-CMP-101021"/>
    <s v="DBK-CUS-501021"/>
    <x v="2"/>
    <x v="2"/>
    <x v="34"/>
    <n v="51"/>
    <x v="1"/>
    <d v="2024-08-10T00:00:00"/>
    <x v="4"/>
  </r>
  <r>
    <s v="DBK-CMP-101022"/>
    <s v="DBK-CUS-501022"/>
    <x v="6"/>
    <x v="0"/>
    <x v="327"/>
    <n v="18"/>
    <x v="1"/>
    <d v="2024-09-20T00:00:00"/>
    <x v="5"/>
  </r>
  <r>
    <s v="DBK-CMP-101023"/>
    <s v="DBK-CUS-501023"/>
    <x v="6"/>
    <x v="4"/>
    <x v="18"/>
    <n v="17"/>
    <x v="2"/>
    <m/>
    <x v="0"/>
  </r>
  <r>
    <s v="DBK-CMP-101024"/>
    <s v="DBK-CUS-501024"/>
    <x v="6"/>
    <x v="1"/>
    <x v="204"/>
    <n v="5"/>
    <x v="0"/>
    <m/>
    <x v="0"/>
  </r>
  <r>
    <s v="DBK-CMP-101025"/>
    <s v="DBK-CUS-501025"/>
    <x v="7"/>
    <x v="2"/>
    <x v="333"/>
    <n v="12"/>
    <x v="1"/>
    <d v="2024-09-14T00:00:00"/>
    <x v="3"/>
  </r>
  <r>
    <s v="DBK-CMP-101026"/>
    <s v="DBK-CUS-501026"/>
    <x v="7"/>
    <x v="1"/>
    <x v="179"/>
    <n v="18"/>
    <x v="2"/>
    <m/>
    <x v="0"/>
  </r>
  <r>
    <s v="DBK-CMP-101027"/>
    <s v="DBK-CUS-501027"/>
    <x v="4"/>
    <x v="3"/>
    <x v="17"/>
    <n v="70"/>
    <x v="1"/>
    <d v="2024-09-11T00:00:00"/>
    <x v="4"/>
  </r>
  <r>
    <s v="DBK-CMP-101028"/>
    <s v="DBK-CUS-501028"/>
    <x v="4"/>
    <x v="3"/>
    <x v="52"/>
    <n v="51"/>
    <x v="0"/>
    <m/>
    <x v="0"/>
  </r>
  <r>
    <s v="DBK-CMP-101029"/>
    <s v="DBK-CUS-501029"/>
    <x v="4"/>
    <x v="1"/>
    <x v="129"/>
    <n v="53"/>
    <x v="0"/>
    <m/>
    <x v="0"/>
  </r>
  <r>
    <s v="DBK-CMP-101030"/>
    <s v="DBK-CUS-501030"/>
    <x v="2"/>
    <x v="0"/>
    <x v="21"/>
    <n v="96"/>
    <x v="2"/>
    <m/>
    <x v="0"/>
  </r>
  <r>
    <s v="DBK-CMP-101031"/>
    <s v="DBK-CUS-501031"/>
    <x v="5"/>
    <x v="1"/>
    <x v="321"/>
    <n v="1"/>
    <x v="1"/>
    <d v="2024-11-19T00:00:00"/>
    <x v="3"/>
  </r>
  <r>
    <s v="DBK-CMP-101032"/>
    <s v="DBK-CUS-501032"/>
    <x v="3"/>
    <x v="3"/>
    <x v="340"/>
    <n v="13"/>
    <x v="2"/>
    <m/>
    <x v="0"/>
  </r>
  <r>
    <s v="DBK-CMP-101033"/>
    <s v="DBK-CUS-501033"/>
    <x v="3"/>
    <x v="0"/>
    <x v="250"/>
    <n v="43"/>
    <x v="0"/>
    <m/>
    <x v="0"/>
  </r>
  <r>
    <s v="DBK-CMP-101034"/>
    <s v="DBK-CUS-501034"/>
    <x v="4"/>
    <x v="2"/>
    <x v="341"/>
    <n v="65"/>
    <x v="2"/>
    <m/>
    <x v="0"/>
  </r>
  <r>
    <s v="DBK-CMP-101035"/>
    <s v="DBK-CUS-501035"/>
    <x v="6"/>
    <x v="2"/>
    <x v="223"/>
    <n v="17"/>
    <x v="1"/>
    <d v="2024-03-29T00:00:00"/>
    <x v="5"/>
  </r>
  <r>
    <s v="DBK-CMP-101036"/>
    <s v="DBK-CUS-501036"/>
    <x v="3"/>
    <x v="4"/>
    <x v="138"/>
    <n v="52"/>
    <x v="0"/>
    <m/>
    <x v="0"/>
  </r>
  <r>
    <s v="DBK-CMP-101037"/>
    <s v="DBK-CUS-501037"/>
    <x v="2"/>
    <x v="4"/>
    <x v="125"/>
    <n v="43"/>
    <x v="1"/>
    <d v="2024-07-09T00:00:00"/>
    <x v="2"/>
  </r>
  <r>
    <s v="DBK-CMP-101038"/>
    <s v="DBK-CUS-501038"/>
    <x v="4"/>
    <x v="4"/>
    <x v="274"/>
    <n v="39"/>
    <x v="1"/>
    <d v="2024-06-13T00:00:00"/>
    <x v="2"/>
  </r>
  <r>
    <s v="DBK-CMP-101039"/>
    <s v="DBK-CUS-501039"/>
    <x v="4"/>
    <x v="3"/>
    <x v="48"/>
    <n v="36"/>
    <x v="1"/>
    <d v="2024-08-28T00:00:00"/>
    <x v="2"/>
  </r>
  <r>
    <s v="DBK-CMP-101040"/>
    <s v="DBK-CUS-501040"/>
    <x v="7"/>
    <x v="1"/>
    <x v="205"/>
    <n v="20"/>
    <x v="1"/>
    <d v="2024-01-01T00:00:00"/>
    <x v="5"/>
  </r>
  <r>
    <s v="DBK-CMP-101041"/>
    <s v="DBK-CUS-501041"/>
    <x v="7"/>
    <x v="2"/>
    <x v="219"/>
    <n v="15"/>
    <x v="2"/>
    <m/>
    <x v="0"/>
  </r>
  <r>
    <s v="DBK-CMP-101042"/>
    <s v="DBK-CUS-501042"/>
    <x v="0"/>
    <x v="3"/>
    <x v="138"/>
    <n v="9"/>
    <x v="1"/>
    <d v="2024-03-06T00:00:00"/>
    <x v="1"/>
  </r>
  <r>
    <s v="DBK-CMP-101043"/>
    <s v="DBK-CUS-501043"/>
    <x v="7"/>
    <x v="1"/>
    <x v="169"/>
    <n v="21"/>
    <x v="1"/>
    <d v="2024-08-22T00:00:00"/>
    <x v="5"/>
  </r>
  <r>
    <s v="DBK-CMP-101044"/>
    <s v="DBK-CUS-501044"/>
    <x v="6"/>
    <x v="1"/>
    <x v="47"/>
    <n v="24"/>
    <x v="1"/>
    <d v="2024-11-05T00:00:00"/>
    <x v="5"/>
  </r>
  <r>
    <s v="DBK-CMP-101045"/>
    <s v="DBK-CUS-501045"/>
    <x v="6"/>
    <x v="0"/>
    <x v="275"/>
    <n v="17"/>
    <x v="2"/>
    <m/>
    <x v="0"/>
  </r>
  <r>
    <s v="DBK-CMP-101046"/>
    <s v="DBK-CUS-501046"/>
    <x v="6"/>
    <x v="0"/>
    <x v="213"/>
    <n v="20"/>
    <x v="1"/>
    <d v="2024-02-28T00:00:00"/>
    <x v="5"/>
  </r>
  <r>
    <s v="DBK-CMP-101047"/>
    <s v="DBK-CUS-501047"/>
    <x v="5"/>
    <x v="2"/>
    <x v="260"/>
    <n v="9"/>
    <x v="1"/>
    <d v="2024-06-10T00:00:00"/>
    <x v="1"/>
  </r>
  <r>
    <s v="DBK-CMP-101048"/>
    <s v="DBK-CUS-501048"/>
    <x v="7"/>
    <x v="2"/>
    <x v="33"/>
    <n v="17"/>
    <x v="1"/>
    <d v="2024-01-13T00:00:00"/>
    <x v="5"/>
  </r>
  <r>
    <s v="DBK-CMP-101049"/>
    <s v="DBK-CUS-501049"/>
    <x v="5"/>
    <x v="1"/>
    <x v="23"/>
    <n v="5"/>
    <x v="1"/>
    <d v="2024-04-20T00:00:00"/>
    <x v="3"/>
  </r>
  <r>
    <s v="DBK-CMP-101050"/>
    <s v="DBK-CUS-501050"/>
    <x v="6"/>
    <x v="2"/>
    <x v="300"/>
    <n v="20"/>
    <x v="0"/>
    <m/>
    <x v="0"/>
  </r>
  <r>
    <s v="DBK-CMP-101051"/>
    <s v="DBK-CUS-501051"/>
    <x v="0"/>
    <x v="1"/>
    <x v="318"/>
    <n v="17"/>
    <x v="1"/>
    <d v="2024-04-07T00:00:00"/>
    <x v="5"/>
  </r>
  <r>
    <s v="DBK-CMP-101052"/>
    <s v="DBK-CUS-501052"/>
    <x v="4"/>
    <x v="4"/>
    <x v="204"/>
    <n v="27"/>
    <x v="2"/>
    <m/>
    <x v="0"/>
  </r>
  <r>
    <s v="DBK-CMP-101053"/>
    <s v="DBK-CUS-501053"/>
    <x v="0"/>
    <x v="3"/>
    <x v="21"/>
    <n v="32"/>
    <x v="0"/>
    <m/>
    <x v="0"/>
  </r>
  <r>
    <s v="DBK-CMP-101054"/>
    <s v="DBK-CUS-501054"/>
    <x v="7"/>
    <x v="1"/>
    <x v="201"/>
    <n v="5"/>
    <x v="1"/>
    <d v="2024-06-19T00:00:00"/>
    <x v="3"/>
  </r>
  <r>
    <s v="DBK-CMP-101055"/>
    <s v="DBK-CUS-501055"/>
    <x v="0"/>
    <x v="1"/>
    <x v="78"/>
    <n v="32"/>
    <x v="0"/>
    <m/>
    <x v="0"/>
  </r>
  <r>
    <s v="DBK-CMP-101056"/>
    <s v="DBK-CUS-501056"/>
    <x v="6"/>
    <x v="3"/>
    <x v="281"/>
    <n v="14"/>
    <x v="1"/>
    <d v="2024-06-01T00:00:00"/>
    <x v="5"/>
  </r>
  <r>
    <s v="DBK-CMP-101057"/>
    <s v="DBK-CUS-501057"/>
    <x v="7"/>
    <x v="2"/>
    <x v="86"/>
    <n v="12"/>
    <x v="1"/>
    <d v="2024-04-11T00:00:00"/>
    <x v="1"/>
  </r>
  <r>
    <s v="DBK-CMP-101058"/>
    <s v="DBK-CUS-501058"/>
    <x v="1"/>
    <x v="1"/>
    <x v="259"/>
    <n v="8"/>
    <x v="1"/>
    <d v="2024-07-19T00:00:00"/>
    <x v="1"/>
  </r>
  <r>
    <s v="DBK-CMP-101059"/>
    <s v="DBK-CUS-501059"/>
    <x v="3"/>
    <x v="1"/>
    <x v="248"/>
    <n v="29"/>
    <x v="1"/>
    <d v="2024-03-28T00:00:00"/>
    <x v="2"/>
  </r>
  <r>
    <s v="DBK-CMP-101060"/>
    <s v="DBK-CUS-501060"/>
    <x v="1"/>
    <x v="0"/>
    <x v="144"/>
    <n v="13"/>
    <x v="1"/>
    <d v="2024-05-22T00:00:00"/>
    <x v="5"/>
  </r>
  <r>
    <s v="DBK-CMP-101061"/>
    <s v="DBK-CUS-501061"/>
    <x v="7"/>
    <x v="4"/>
    <x v="190"/>
    <n v="9"/>
    <x v="1"/>
    <d v="2024-07-11T00:00:00"/>
    <x v="1"/>
  </r>
  <r>
    <s v="DBK-CMP-101062"/>
    <s v="DBK-CUS-501062"/>
    <x v="1"/>
    <x v="1"/>
    <x v="342"/>
    <n v="8"/>
    <x v="1"/>
    <d v="2024-09-29T00:00:00"/>
    <x v="1"/>
  </r>
  <r>
    <s v="DBK-CMP-101063"/>
    <s v="DBK-CUS-501063"/>
    <x v="2"/>
    <x v="1"/>
    <x v="93"/>
    <n v="88"/>
    <x v="1"/>
    <d v="2024-09-28T00:00:00"/>
    <x v="3"/>
  </r>
  <r>
    <s v="DBK-CMP-101064"/>
    <s v="DBK-CUS-501064"/>
    <x v="1"/>
    <x v="4"/>
    <x v="174"/>
    <n v="33"/>
    <x v="1"/>
    <d v="2024-10-18T00:00:00"/>
    <x v="3"/>
  </r>
  <r>
    <s v="DBK-CMP-101065"/>
    <s v="DBK-CUS-501065"/>
    <x v="2"/>
    <x v="4"/>
    <x v="59"/>
    <n v="35"/>
    <x v="1"/>
    <d v="2024-04-19T00:00:00"/>
    <x v="2"/>
  </r>
  <r>
    <s v="DBK-CMP-101066"/>
    <s v="DBK-CUS-501066"/>
    <x v="3"/>
    <x v="1"/>
    <x v="22"/>
    <n v="59"/>
    <x v="1"/>
    <d v="2024-01-20T00:00:00"/>
    <x v="4"/>
  </r>
  <r>
    <s v="DBK-CMP-101067"/>
    <s v="DBK-CUS-501067"/>
    <x v="1"/>
    <x v="2"/>
    <x v="142"/>
    <n v="32"/>
    <x v="0"/>
    <m/>
    <x v="0"/>
  </r>
  <r>
    <s v="DBK-CMP-101068"/>
    <s v="DBK-CUS-501068"/>
    <x v="0"/>
    <x v="1"/>
    <x v="321"/>
    <n v="38"/>
    <x v="1"/>
    <d v="2024-11-20T00:00:00"/>
    <x v="2"/>
  </r>
  <r>
    <s v="DBK-CMP-101069"/>
    <s v="DBK-CUS-501069"/>
    <x v="3"/>
    <x v="4"/>
    <x v="135"/>
    <n v="48"/>
    <x v="1"/>
    <d v="2024-01-11T00:00:00"/>
    <x v="3"/>
  </r>
  <r>
    <s v="DBK-CMP-101070"/>
    <s v="DBK-CUS-501070"/>
    <x v="6"/>
    <x v="2"/>
    <x v="33"/>
    <n v="12"/>
    <x v="1"/>
    <d v="2024-01-13T00:00:00"/>
    <x v="1"/>
  </r>
  <r>
    <s v="DBK-CMP-101071"/>
    <s v="DBK-CUS-501071"/>
    <x v="1"/>
    <x v="3"/>
    <x v="277"/>
    <n v="31"/>
    <x v="0"/>
    <m/>
    <x v="0"/>
  </r>
  <r>
    <s v="DBK-CMP-101072"/>
    <s v="DBK-CUS-501072"/>
    <x v="4"/>
    <x v="3"/>
    <x v="56"/>
    <n v="42"/>
    <x v="0"/>
    <m/>
    <x v="0"/>
  </r>
  <r>
    <s v="DBK-CMP-101073"/>
    <s v="DBK-CUS-501073"/>
    <x v="2"/>
    <x v="2"/>
    <x v="211"/>
    <n v="93"/>
    <x v="1"/>
    <d v="2024-07-05T00:00:00"/>
    <x v="4"/>
  </r>
  <r>
    <s v="DBK-CMP-101074"/>
    <s v="DBK-CUS-501074"/>
    <x v="3"/>
    <x v="2"/>
    <x v="151"/>
    <n v="53"/>
    <x v="2"/>
    <m/>
    <x v="0"/>
  </r>
  <r>
    <s v="DBK-CMP-101075"/>
    <s v="DBK-CUS-501075"/>
    <x v="6"/>
    <x v="4"/>
    <x v="67"/>
    <n v="16"/>
    <x v="1"/>
    <d v="2024-01-17T00:00:00"/>
    <x v="3"/>
  </r>
  <r>
    <s v="DBK-CMP-101076"/>
    <s v="DBK-CUS-501076"/>
    <x v="6"/>
    <x v="2"/>
    <x v="152"/>
    <n v="4"/>
    <x v="1"/>
    <d v="2024-09-15T00:00:00"/>
    <x v="3"/>
  </r>
  <r>
    <s v="DBK-CMP-101077"/>
    <s v="DBK-CUS-501077"/>
    <x v="7"/>
    <x v="3"/>
    <x v="320"/>
    <n v="24"/>
    <x v="2"/>
    <m/>
    <x v="0"/>
  </r>
  <r>
    <s v="DBK-CMP-101078"/>
    <s v="DBK-CUS-501078"/>
    <x v="5"/>
    <x v="2"/>
    <x v="179"/>
    <n v="6"/>
    <x v="2"/>
    <m/>
    <x v="0"/>
  </r>
  <r>
    <s v="DBK-CMP-101079"/>
    <s v="DBK-CUS-501079"/>
    <x v="0"/>
    <x v="4"/>
    <x v="188"/>
    <n v="44"/>
    <x v="2"/>
    <m/>
    <x v="0"/>
  </r>
  <r>
    <s v="DBK-CMP-101080"/>
    <s v="DBK-CUS-501080"/>
    <x v="0"/>
    <x v="2"/>
    <x v="343"/>
    <n v="21"/>
    <x v="0"/>
    <m/>
    <x v="0"/>
  </r>
  <r>
    <s v="DBK-CMP-101081"/>
    <s v="DBK-CUS-501081"/>
    <x v="3"/>
    <x v="0"/>
    <x v="344"/>
    <n v="59"/>
    <x v="1"/>
    <d v="2024-09-28T00:00:00"/>
    <x v="4"/>
  </r>
  <r>
    <s v="DBK-CMP-101082"/>
    <s v="DBK-CUS-501082"/>
    <x v="0"/>
    <x v="3"/>
    <x v="260"/>
    <n v="38"/>
    <x v="1"/>
    <d v="2024-06-11T00:00:00"/>
    <x v="2"/>
  </r>
  <r>
    <s v="DBK-CMP-101083"/>
    <s v="DBK-CUS-501083"/>
    <x v="1"/>
    <x v="3"/>
    <x v="103"/>
    <n v="32"/>
    <x v="0"/>
    <m/>
    <x v="0"/>
  </r>
  <r>
    <s v="DBK-CMP-101084"/>
    <s v="DBK-CUS-501084"/>
    <x v="5"/>
    <x v="4"/>
    <x v="83"/>
    <n v="12"/>
    <x v="1"/>
    <d v="2024-11-06T00:00:00"/>
    <x v="1"/>
  </r>
  <r>
    <s v="DBK-CMP-101085"/>
    <s v="DBK-CUS-501085"/>
    <x v="1"/>
    <x v="1"/>
    <x v="196"/>
    <n v="12"/>
    <x v="1"/>
    <d v="2024-08-04T00:00:00"/>
    <x v="1"/>
  </r>
  <r>
    <s v="DBK-CMP-101086"/>
    <s v="DBK-CUS-501086"/>
    <x v="1"/>
    <x v="2"/>
    <x v="178"/>
    <n v="6"/>
    <x v="1"/>
    <d v="2024-02-18T00:00:00"/>
    <x v="3"/>
  </r>
  <r>
    <s v="DBK-CMP-101087"/>
    <s v="DBK-CUS-501087"/>
    <x v="2"/>
    <x v="1"/>
    <x v="135"/>
    <n v="68"/>
    <x v="1"/>
    <d v="2024-01-11T00:00:00"/>
    <x v="4"/>
  </r>
  <r>
    <s v="DBK-CMP-101088"/>
    <s v="DBK-CUS-501088"/>
    <x v="7"/>
    <x v="4"/>
    <x v="42"/>
    <n v="5"/>
    <x v="2"/>
    <m/>
    <x v="0"/>
  </r>
  <r>
    <s v="DBK-CMP-101089"/>
    <s v="DBK-CUS-501089"/>
    <x v="2"/>
    <x v="3"/>
    <x v="26"/>
    <n v="93"/>
    <x v="0"/>
    <m/>
    <x v="0"/>
  </r>
  <r>
    <s v="DBK-CMP-101090"/>
    <s v="DBK-CUS-501090"/>
    <x v="5"/>
    <x v="2"/>
    <x v="16"/>
    <n v="4"/>
    <x v="2"/>
    <m/>
    <x v="0"/>
  </r>
  <r>
    <s v="DBK-CMP-101091"/>
    <s v="DBK-CUS-501091"/>
    <x v="6"/>
    <x v="3"/>
    <x v="191"/>
    <n v="15"/>
    <x v="1"/>
    <d v="2024-05-06T00:00:00"/>
    <x v="5"/>
  </r>
  <r>
    <s v="DBK-CMP-101092"/>
    <s v="DBK-CUS-501092"/>
    <x v="6"/>
    <x v="0"/>
    <x v="274"/>
    <n v="8"/>
    <x v="0"/>
    <m/>
    <x v="0"/>
  </r>
  <r>
    <s v="DBK-CMP-101093"/>
    <s v="DBK-CUS-501093"/>
    <x v="7"/>
    <x v="0"/>
    <x v="119"/>
    <n v="23"/>
    <x v="1"/>
    <d v="2024-07-03T00:00:00"/>
    <x v="5"/>
  </r>
  <r>
    <s v="DBK-CMP-101094"/>
    <s v="DBK-CUS-501094"/>
    <x v="2"/>
    <x v="2"/>
    <x v="131"/>
    <n v="88"/>
    <x v="1"/>
    <d v="2024-06-18T00:00:00"/>
    <x v="4"/>
  </r>
  <r>
    <s v="DBK-CMP-101095"/>
    <s v="DBK-CUS-501095"/>
    <x v="2"/>
    <x v="3"/>
    <x v="9"/>
    <n v="29"/>
    <x v="1"/>
    <d v="2024-03-18T00:00:00"/>
    <x v="2"/>
  </r>
  <r>
    <s v="DBK-CMP-101096"/>
    <s v="DBK-CUS-501096"/>
    <x v="3"/>
    <x v="0"/>
    <x v="96"/>
    <n v="58"/>
    <x v="0"/>
    <m/>
    <x v="0"/>
  </r>
  <r>
    <s v="DBK-CMP-101097"/>
    <s v="DBK-CUS-501097"/>
    <x v="5"/>
    <x v="3"/>
    <x v="313"/>
    <n v="3"/>
    <x v="0"/>
    <m/>
    <x v="0"/>
  </r>
  <r>
    <s v="DBK-CMP-101098"/>
    <s v="DBK-CUS-501098"/>
    <x v="6"/>
    <x v="2"/>
    <x v="23"/>
    <n v="4"/>
    <x v="1"/>
    <d v="2024-04-20T00:00:00"/>
    <x v="3"/>
  </r>
  <r>
    <s v="DBK-CMP-101099"/>
    <s v="DBK-CUS-501099"/>
    <x v="6"/>
    <x v="4"/>
    <x v="233"/>
    <n v="2"/>
    <x v="1"/>
    <d v="2024-08-01T00:00:00"/>
    <x v="3"/>
  </r>
  <r>
    <s v="DBK-CMP-101100"/>
    <s v="DBK-CUS-501100"/>
    <x v="4"/>
    <x v="2"/>
    <x v="43"/>
    <n v="21"/>
    <x v="0"/>
    <m/>
    <x v="0"/>
  </r>
  <r>
    <s v="DBK-CMP-101101"/>
    <s v="DBK-CUS-501101"/>
    <x v="2"/>
    <x v="0"/>
    <x v="28"/>
    <n v="60"/>
    <x v="1"/>
    <d v="2024-08-02T00:00:00"/>
    <x v="4"/>
  </r>
  <r>
    <s v="DBK-CMP-101102"/>
    <s v="DBK-CUS-501102"/>
    <x v="6"/>
    <x v="2"/>
    <x v="263"/>
    <n v="4"/>
    <x v="1"/>
    <d v="2024-07-09T00:00:00"/>
    <x v="3"/>
  </r>
  <r>
    <s v="DBK-CMP-101103"/>
    <s v="DBK-CUS-501103"/>
    <x v="1"/>
    <x v="4"/>
    <x v="162"/>
    <n v="5"/>
    <x v="1"/>
    <d v="2024-11-18T00:00:00"/>
    <x v="3"/>
  </r>
  <r>
    <s v="DBK-CMP-101104"/>
    <s v="DBK-CUS-501104"/>
    <x v="5"/>
    <x v="3"/>
    <x v="266"/>
    <n v="1"/>
    <x v="2"/>
    <m/>
    <x v="0"/>
  </r>
  <r>
    <s v="DBK-CMP-101105"/>
    <s v="DBK-CUS-501105"/>
    <x v="0"/>
    <x v="3"/>
    <x v="6"/>
    <n v="38"/>
    <x v="2"/>
    <m/>
    <x v="0"/>
  </r>
  <r>
    <s v="DBK-CMP-101106"/>
    <s v="DBK-CUS-501106"/>
    <x v="0"/>
    <x v="3"/>
    <x v="331"/>
    <n v="27"/>
    <x v="1"/>
    <d v="2024-10-22T00:00:00"/>
    <x v="2"/>
  </r>
  <r>
    <s v="DBK-CMP-101107"/>
    <s v="DBK-CUS-501107"/>
    <x v="3"/>
    <x v="2"/>
    <x v="273"/>
    <n v="35"/>
    <x v="1"/>
    <d v="2024-12-13T00:00:00"/>
    <x v="2"/>
  </r>
  <r>
    <s v="DBK-CMP-101108"/>
    <s v="DBK-CUS-501108"/>
    <x v="7"/>
    <x v="0"/>
    <x v="4"/>
    <n v="11"/>
    <x v="0"/>
    <m/>
    <x v="0"/>
  </r>
  <r>
    <s v="DBK-CMP-101109"/>
    <s v="DBK-CUS-501109"/>
    <x v="7"/>
    <x v="1"/>
    <x v="60"/>
    <n v="18"/>
    <x v="1"/>
    <d v="2024-06-09T00:00:00"/>
    <x v="5"/>
  </r>
  <r>
    <s v="DBK-CMP-101110"/>
    <s v="DBK-CUS-501110"/>
    <x v="3"/>
    <x v="3"/>
    <x v="268"/>
    <n v="47"/>
    <x v="1"/>
    <d v="2024-11-14T00:00:00"/>
    <x v="2"/>
  </r>
  <r>
    <s v="DBK-CMP-101111"/>
    <s v="DBK-CUS-501111"/>
    <x v="5"/>
    <x v="3"/>
    <x v="30"/>
    <n v="5"/>
    <x v="1"/>
    <d v="2024-08-13T00:00:00"/>
    <x v="3"/>
  </r>
  <r>
    <s v="DBK-CMP-101112"/>
    <s v="DBK-CUS-501112"/>
    <x v="1"/>
    <x v="3"/>
    <x v="50"/>
    <n v="24"/>
    <x v="0"/>
    <m/>
    <x v="0"/>
  </r>
  <r>
    <s v="DBK-CMP-101113"/>
    <s v="DBK-CUS-501113"/>
    <x v="6"/>
    <x v="0"/>
    <x v="337"/>
    <n v="20"/>
    <x v="0"/>
    <m/>
    <x v="0"/>
  </r>
  <r>
    <s v="DBK-CMP-101114"/>
    <s v="DBK-CUS-501114"/>
    <x v="5"/>
    <x v="0"/>
    <x v="210"/>
    <n v="7"/>
    <x v="0"/>
    <m/>
    <x v="0"/>
  </r>
  <r>
    <s v="DBK-CMP-101115"/>
    <s v="DBK-CUS-501115"/>
    <x v="2"/>
    <x v="0"/>
    <x v="252"/>
    <n v="79"/>
    <x v="1"/>
    <d v="2024-01-26T00:00:00"/>
    <x v="3"/>
  </r>
  <r>
    <s v="DBK-CMP-101116"/>
    <s v="DBK-CUS-501116"/>
    <x v="4"/>
    <x v="0"/>
    <x v="47"/>
    <n v="10"/>
    <x v="1"/>
    <d v="2024-11-04T00:00:00"/>
    <x v="1"/>
  </r>
  <r>
    <s v="DBK-CMP-101117"/>
    <s v="DBK-CUS-501117"/>
    <x v="5"/>
    <x v="2"/>
    <x v="245"/>
    <n v="3"/>
    <x v="1"/>
    <d v="2024-04-05T00:00:00"/>
    <x v="3"/>
  </r>
  <r>
    <s v="DBK-CMP-101118"/>
    <s v="DBK-CUS-501118"/>
    <x v="6"/>
    <x v="2"/>
    <x v="169"/>
    <n v="9"/>
    <x v="1"/>
    <d v="2024-08-22T00:00:00"/>
    <x v="1"/>
  </r>
  <r>
    <s v="DBK-CMP-101119"/>
    <s v="DBK-CUS-501119"/>
    <x v="1"/>
    <x v="0"/>
    <x v="79"/>
    <n v="5"/>
    <x v="1"/>
    <d v="2024-05-02T00:00:00"/>
    <x v="3"/>
  </r>
  <r>
    <s v="DBK-CMP-101120"/>
    <s v="DBK-CUS-501120"/>
    <x v="0"/>
    <x v="2"/>
    <x v="281"/>
    <n v="15"/>
    <x v="0"/>
    <m/>
    <x v="0"/>
  </r>
  <r>
    <s v="DBK-CMP-101121"/>
    <s v="DBK-CUS-501121"/>
    <x v="7"/>
    <x v="0"/>
    <x v="112"/>
    <n v="23"/>
    <x v="1"/>
    <d v="2024-06-30T00:00:00"/>
    <x v="5"/>
  </r>
  <r>
    <s v="DBK-CMP-101122"/>
    <s v="DBK-CUS-501122"/>
    <x v="4"/>
    <x v="3"/>
    <x v="253"/>
    <n v="42"/>
    <x v="1"/>
    <d v="2024-09-12T00:00:00"/>
    <x v="2"/>
  </r>
  <r>
    <s v="DBK-CMP-101123"/>
    <s v="DBK-CUS-501123"/>
    <x v="2"/>
    <x v="2"/>
    <x v="246"/>
    <n v="74"/>
    <x v="2"/>
    <m/>
    <x v="0"/>
  </r>
  <r>
    <s v="DBK-CMP-101124"/>
    <s v="DBK-CUS-501124"/>
    <x v="3"/>
    <x v="4"/>
    <x v="345"/>
    <n v="33"/>
    <x v="2"/>
    <m/>
    <x v="0"/>
  </r>
  <r>
    <s v="DBK-CMP-101125"/>
    <s v="DBK-CUS-501125"/>
    <x v="0"/>
    <x v="0"/>
    <x v="157"/>
    <n v="22"/>
    <x v="1"/>
    <d v="2024-11-12T00:00:00"/>
    <x v="5"/>
  </r>
  <r>
    <s v="DBK-CMP-101126"/>
    <s v="DBK-CUS-501126"/>
    <x v="0"/>
    <x v="2"/>
    <x v="33"/>
    <n v="13"/>
    <x v="1"/>
    <d v="2024-01-13T00:00:00"/>
    <x v="5"/>
  </r>
  <r>
    <s v="DBK-CMP-101127"/>
    <s v="DBK-CUS-501127"/>
    <x v="2"/>
    <x v="0"/>
    <x v="247"/>
    <n v="87"/>
    <x v="1"/>
    <d v="2024-11-10T00:00:00"/>
    <x v="4"/>
  </r>
  <r>
    <s v="DBK-CMP-101128"/>
    <s v="DBK-CUS-501128"/>
    <x v="7"/>
    <x v="3"/>
    <x v="263"/>
    <n v="9"/>
    <x v="1"/>
    <d v="2024-07-09T00:00:00"/>
    <x v="1"/>
  </r>
  <r>
    <s v="DBK-CMP-101129"/>
    <s v="DBK-CUS-501129"/>
    <x v="3"/>
    <x v="0"/>
    <x v="346"/>
    <n v="30"/>
    <x v="0"/>
    <m/>
    <x v="0"/>
  </r>
  <r>
    <s v="DBK-CMP-101130"/>
    <s v="DBK-CUS-501130"/>
    <x v="2"/>
    <x v="3"/>
    <x v="177"/>
    <n v="55"/>
    <x v="2"/>
    <m/>
    <x v="0"/>
  </r>
  <r>
    <s v="DBK-CMP-101131"/>
    <s v="DBK-CUS-501131"/>
    <x v="4"/>
    <x v="0"/>
    <x v="152"/>
    <n v="10"/>
    <x v="1"/>
    <d v="2024-09-15T00:00:00"/>
    <x v="1"/>
  </r>
  <r>
    <s v="DBK-CMP-101132"/>
    <s v="DBK-CUS-501132"/>
    <x v="2"/>
    <x v="1"/>
    <x v="347"/>
    <n v="53"/>
    <x v="1"/>
    <d v="2024-09-04T00:00:00"/>
    <x v="4"/>
  </r>
  <r>
    <s v="DBK-CMP-101133"/>
    <s v="DBK-CUS-501133"/>
    <x v="1"/>
    <x v="1"/>
    <x v="111"/>
    <n v="33"/>
    <x v="1"/>
    <d v="2024-11-02T00:00:00"/>
    <x v="2"/>
  </r>
  <r>
    <s v="DBK-CMP-101134"/>
    <s v="DBK-CUS-501134"/>
    <x v="3"/>
    <x v="3"/>
    <x v="102"/>
    <n v="41"/>
    <x v="2"/>
    <m/>
    <x v="0"/>
  </r>
  <r>
    <s v="DBK-CMP-101135"/>
    <s v="DBK-CUS-501135"/>
    <x v="3"/>
    <x v="4"/>
    <x v="283"/>
    <n v="69"/>
    <x v="1"/>
    <d v="2024-02-10T00:00:00"/>
    <x v="4"/>
  </r>
  <r>
    <s v="DBK-CMP-101136"/>
    <s v="DBK-CUS-501136"/>
    <x v="1"/>
    <x v="2"/>
    <x v="175"/>
    <n v="31"/>
    <x v="1"/>
    <d v="2024-02-24T00:00:00"/>
    <x v="2"/>
  </r>
  <r>
    <s v="DBK-CMP-101137"/>
    <s v="DBK-CUS-501137"/>
    <x v="1"/>
    <x v="4"/>
    <x v="146"/>
    <n v="19"/>
    <x v="1"/>
    <d v="2024-08-19T00:00:00"/>
    <x v="5"/>
  </r>
  <r>
    <s v="DBK-CMP-101138"/>
    <s v="DBK-CUS-501138"/>
    <x v="5"/>
    <x v="2"/>
    <x v="286"/>
    <n v="12"/>
    <x v="1"/>
    <d v="2024-06-04T00:00:00"/>
    <x v="1"/>
  </r>
  <r>
    <s v="DBK-CMP-101139"/>
    <s v="DBK-CUS-501139"/>
    <x v="1"/>
    <x v="4"/>
    <x v="201"/>
    <n v="33"/>
    <x v="2"/>
    <m/>
    <x v="0"/>
  </r>
  <r>
    <s v="DBK-CMP-101140"/>
    <s v="DBK-CUS-501140"/>
    <x v="6"/>
    <x v="1"/>
    <x v="160"/>
    <n v="18"/>
    <x v="1"/>
    <d v="2024-03-15T00:00:00"/>
    <x v="5"/>
  </r>
  <r>
    <s v="DBK-CMP-101141"/>
    <s v="DBK-CUS-501141"/>
    <x v="1"/>
    <x v="1"/>
    <x v="210"/>
    <n v="21"/>
    <x v="1"/>
    <d v="2024-02-24T00:00:00"/>
    <x v="5"/>
  </r>
  <r>
    <s v="DBK-CMP-101142"/>
    <s v="DBK-CUS-501142"/>
    <x v="3"/>
    <x v="2"/>
    <x v="261"/>
    <n v="40"/>
    <x v="0"/>
    <m/>
    <x v="0"/>
  </r>
  <r>
    <s v="DBK-CMP-101143"/>
    <s v="DBK-CUS-501143"/>
    <x v="2"/>
    <x v="4"/>
    <x v="65"/>
    <n v="39"/>
    <x v="1"/>
    <d v="2024-03-23T00:00:00"/>
    <x v="2"/>
  </r>
  <r>
    <s v="DBK-CMP-101144"/>
    <s v="DBK-CUS-501144"/>
    <x v="3"/>
    <x v="4"/>
    <x v="50"/>
    <n v="26"/>
    <x v="2"/>
    <m/>
    <x v="0"/>
  </r>
  <r>
    <s v="DBK-CMP-101145"/>
    <s v="DBK-CUS-501145"/>
    <x v="2"/>
    <x v="4"/>
    <x v="88"/>
    <n v="34"/>
    <x v="1"/>
    <d v="2024-11-03T00:00:00"/>
    <x v="3"/>
  </r>
  <r>
    <s v="DBK-CMP-101146"/>
    <s v="DBK-CUS-501146"/>
    <x v="6"/>
    <x v="2"/>
    <x v="209"/>
    <n v="23"/>
    <x v="0"/>
    <m/>
    <x v="0"/>
  </r>
  <r>
    <s v="DBK-CMP-101147"/>
    <s v="DBK-CUS-501147"/>
    <x v="1"/>
    <x v="4"/>
    <x v="326"/>
    <n v="7"/>
    <x v="1"/>
    <d v="2024-10-19T00:00:00"/>
    <x v="1"/>
  </r>
  <r>
    <s v="DBK-CMP-101148"/>
    <s v="DBK-CUS-501148"/>
    <x v="4"/>
    <x v="4"/>
    <x v="259"/>
    <n v="19"/>
    <x v="1"/>
    <d v="2024-07-19T00:00:00"/>
    <x v="5"/>
  </r>
  <r>
    <s v="DBK-CMP-101149"/>
    <s v="DBK-CUS-501149"/>
    <x v="6"/>
    <x v="3"/>
    <x v="257"/>
    <n v="17"/>
    <x v="1"/>
    <d v="2024-05-13T00:00:00"/>
    <x v="3"/>
  </r>
  <r>
    <s v="DBK-CMP-101150"/>
    <s v="DBK-CUS-501150"/>
    <x v="4"/>
    <x v="2"/>
    <x v="30"/>
    <n v="61"/>
    <x v="1"/>
    <d v="2024-08-15T00:00:00"/>
    <x v="3"/>
  </r>
  <r>
    <s v="DBK-CMP-101151"/>
    <s v="DBK-CUS-501151"/>
    <x v="5"/>
    <x v="2"/>
    <x v="59"/>
    <n v="5"/>
    <x v="1"/>
    <d v="2024-04-18T00:00:00"/>
    <x v="3"/>
  </r>
  <r>
    <s v="DBK-CMP-101152"/>
    <s v="DBK-CUS-501152"/>
    <x v="1"/>
    <x v="3"/>
    <x v="335"/>
    <n v="7"/>
    <x v="1"/>
    <d v="2024-05-12T00:00:00"/>
    <x v="1"/>
  </r>
  <r>
    <s v="DBK-CMP-101153"/>
    <s v="DBK-CUS-501153"/>
    <x v="5"/>
    <x v="2"/>
    <x v="348"/>
    <n v="2"/>
    <x v="2"/>
    <m/>
    <x v="0"/>
  </r>
  <r>
    <s v="DBK-CMP-101154"/>
    <s v="DBK-CUS-501154"/>
    <x v="3"/>
    <x v="2"/>
    <x v="335"/>
    <n v="29"/>
    <x v="1"/>
    <d v="2024-05-13T00:00:00"/>
    <x v="2"/>
  </r>
  <r>
    <s v="DBK-CMP-101155"/>
    <s v="DBK-CUS-501155"/>
    <x v="7"/>
    <x v="1"/>
    <x v="209"/>
    <n v="9"/>
    <x v="1"/>
    <d v="2024-09-13T00:00:00"/>
    <x v="1"/>
  </r>
  <r>
    <s v="DBK-CMP-101156"/>
    <s v="DBK-CUS-501156"/>
    <x v="0"/>
    <x v="0"/>
    <x v="148"/>
    <n v="11"/>
    <x v="1"/>
    <d v="2024-03-07T00:00:00"/>
    <x v="1"/>
  </r>
  <r>
    <s v="DBK-CMP-101157"/>
    <s v="DBK-CUS-501157"/>
    <x v="6"/>
    <x v="3"/>
    <x v="204"/>
    <n v="13"/>
    <x v="1"/>
    <d v="2024-06-07T00:00:00"/>
    <x v="5"/>
  </r>
  <r>
    <s v="DBK-CMP-101158"/>
    <s v="DBK-CUS-501158"/>
    <x v="7"/>
    <x v="3"/>
    <x v="70"/>
    <n v="19"/>
    <x v="2"/>
    <m/>
    <x v="0"/>
  </r>
  <r>
    <s v="DBK-CMP-101159"/>
    <s v="DBK-CUS-501159"/>
    <x v="0"/>
    <x v="3"/>
    <x v="189"/>
    <n v="5"/>
    <x v="0"/>
    <m/>
    <x v="0"/>
  </r>
  <r>
    <s v="DBK-CMP-101160"/>
    <s v="DBK-CUS-501160"/>
    <x v="7"/>
    <x v="3"/>
    <x v="3"/>
    <n v="11"/>
    <x v="0"/>
    <m/>
    <x v="0"/>
  </r>
  <r>
    <s v="DBK-CMP-101161"/>
    <s v="DBK-CUS-501161"/>
    <x v="3"/>
    <x v="3"/>
    <x v="174"/>
    <n v="67"/>
    <x v="1"/>
    <d v="2024-10-19T00:00:00"/>
    <x v="4"/>
  </r>
  <r>
    <s v="DBK-CMP-101162"/>
    <s v="DBK-CUS-501162"/>
    <x v="7"/>
    <x v="0"/>
    <x v="100"/>
    <n v="7"/>
    <x v="2"/>
    <m/>
    <x v="0"/>
  </r>
  <r>
    <s v="DBK-CMP-101163"/>
    <s v="DBK-CUS-501163"/>
    <x v="6"/>
    <x v="0"/>
    <x v="13"/>
    <n v="10"/>
    <x v="1"/>
    <d v="2024-12-22T00:00:00"/>
    <x v="1"/>
  </r>
  <r>
    <s v="DBK-CMP-101164"/>
    <s v="DBK-CUS-501164"/>
    <x v="4"/>
    <x v="0"/>
    <x v="133"/>
    <n v="27"/>
    <x v="1"/>
    <d v="2024-09-11T00:00:00"/>
    <x v="2"/>
  </r>
  <r>
    <s v="DBK-CMP-101165"/>
    <s v="DBK-CUS-501165"/>
    <x v="5"/>
    <x v="0"/>
    <x v="11"/>
    <n v="5"/>
    <x v="0"/>
    <m/>
    <x v="0"/>
  </r>
  <r>
    <s v="DBK-CMP-101166"/>
    <s v="DBK-CUS-501166"/>
    <x v="1"/>
    <x v="0"/>
    <x v="198"/>
    <n v="20"/>
    <x v="0"/>
    <m/>
    <x v="0"/>
  </r>
  <r>
    <s v="DBK-CMP-101167"/>
    <s v="DBK-CUS-501167"/>
    <x v="0"/>
    <x v="3"/>
    <x v="77"/>
    <n v="41"/>
    <x v="1"/>
    <d v="2024-02-03T00:00:00"/>
    <x v="3"/>
  </r>
  <r>
    <s v="DBK-CMP-101168"/>
    <s v="DBK-CUS-501168"/>
    <x v="2"/>
    <x v="1"/>
    <x v="282"/>
    <n v="68"/>
    <x v="1"/>
    <d v="2024-11-30T00:00:00"/>
    <x v="4"/>
  </r>
  <r>
    <s v="DBK-CMP-101169"/>
    <s v="DBK-CUS-501169"/>
    <x v="0"/>
    <x v="3"/>
    <x v="206"/>
    <n v="16"/>
    <x v="1"/>
    <d v="2024-12-03T00:00:00"/>
    <x v="5"/>
  </r>
  <r>
    <s v="DBK-CMP-101170"/>
    <s v="DBK-CUS-501170"/>
    <x v="7"/>
    <x v="2"/>
    <x v="32"/>
    <n v="6"/>
    <x v="0"/>
    <m/>
    <x v="0"/>
  </r>
  <r>
    <s v="DBK-CMP-101171"/>
    <s v="DBK-CUS-501171"/>
    <x v="1"/>
    <x v="1"/>
    <x v="335"/>
    <n v="23"/>
    <x v="0"/>
    <m/>
    <x v="0"/>
  </r>
  <r>
    <s v="DBK-CMP-101172"/>
    <s v="DBK-CUS-501172"/>
    <x v="5"/>
    <x v="2"/>
    <x v="2"/>
    <n v="1"/>
    <x v="1"/>
    <d v="2024-09-30T00:00:00"/>
    <x v="3"/>
  </r>
  <r>
    <s v="DBK-CMP-101173"/>
    <s v="DBK-CUS-501173"/>
    <x v="1"/>
    <x v="1"/>
    <x v="187"/>
    <n v="6"/>
    <x v="1"/>
    <d v="2024-01-08T00:00:00"/>
    <x v="3"/>
  </r>
  <r>
    <s v="DBK-CMP-101174"/>
    <s v="DBK-CUS-501174"/>
    <x v="0"/>
    <x v="1"/>
    <x v="195"/>
    <n v="18"/>
    <x v="2"/>
    <m/>
    <x v="0"/>
  </r>
  <r>
    <s v="DBK-CMP-101175"/>
    <s v="DBK-CUS-501175"/>
    <x v="0"/>
    <x v="4"/>
    <x v="321"/>
    <n v="20"/>
    <x v="1"/>
    <d v="2024-11-19T00:00:00"/>
    <x v="5"/>
  </r>
  <r>
    <s v="DBK-CMP-101176"/>
    <s v="DBK-CUS-501176"/>
    <x v="0"/>
    <x v="2"/>
    <x v="207"/>
    <n v="6"/>
    <x v="1"/>
    <d v="2024-12-17T00:00:00"/>
    <x v="3"/>
  </r>
  <r>
    <s v="DBK-CMP-101177"/>
    <s v="DBK-CUS-501177"/>
    <x v="3"/>
    <x v="1"/>
    <x v="103"/>
    <n v="32"/>
    <x v="1"/>
    <d v="2024-06-04T00:00:00"/>
    <x v="2"/>
  </r>
  <r>
    <s v="DBK-CMP-101178"/>
    <s v="DBK-CUS-501178"/>
    <x v="7"/>
    <x v="2"/>
    <x v="342"/>
    <n v="14"/>
    <x v="0"/>
    <m/>
    <x v="0"/>
  </r>
  <r>
    <s v="DBK-CMP-101179"/>
    <s v="DBK-CUS-501179"/>
    <x v="6"/>
    <x v="0"/>
    <x v="59"/>
    <n v="7"/>
    <x v="1"/>
    <d v="2024-04-18T00:00:00"/>
    <x v="1"/>
  </r>
  <r>
    <s v="DBK-CMP-101180"/>
    <s v="DBK-CUS-501180"/>
    <x v="4"/>
    <x v="2"/>
    <x v="70"/>
    <n v="45"/>
    <x v="0"/>
    <m/>
    <x v="0"/>
  </r>
  <r>
    <s v="DBK-CMP-101181"/>
    <s v="DBK-CUS-501181"/>
    <x v="7"/>
    <x v="3"/>
    <x v="196"/>
    <n v="12"/>
    <x v="1"/>
    <d v="2024-08-04T00:00:00"/>
    <x v="1"/>
  </r>
  <r>
    <s v="DBK-CMP-101182"/>
    <s v="DBK-CUS-501182"/>
    <x v="6"/>
    <x v="3"/>
    <x v="113"/>
    <n v="7"/>
    <x v="1"/>
    <d v="2024-12-19T00:00:00"/>
    <x v="1"/>
  </r>
  <r>
    <s v="DBK-CMP-101183"/>
    <s v="DBK-CUS-501183"/>
    <x v="3"/>
    <x v="3"/>
    <x v="283"/>
    <n v="33"/>
    <x v="0"/>
    <m/>
    <x v="0"/>
  </r>
  <r>
    <s v="DBK-CMP-101184"/>
    <s v="DBK-CUS-501184"/>
    <x v="3"/>
    <x v="4"/>
    <x v="178"/>
    <n v="72"/>
    <x v="1"/>
    <d v="2024-02-21T00:00:00"/>
    <x v="4"/>
  </r>
  <r>
    <s v="DBK-CMP-101185"/>
    <s v="DBK-CUS-501185"/>
    <x v="4"/>
    <x v="1"/>
    <x v="263"/>
    <n v="50"/>
    <x v="0"/>
    <m/>
    <x v="0"/>
  </r>
  <r>
    <s v="DBK-CMP-101186"/>
    <s v="DBK-CUS-501186"/>
    <x v="2"/>
    <x v="0"/>
    <x v="141"/>
    <n v="92"/>
    <x v="1"/>
    <d v="2024-08-09T00:00:00"/>
    <x v="4"/>
  </r>
  <r>
    <s v="DBK-CMP-101187"/>
    <s v="DBK-CUS-501187"/>
    <x v="7"/>
    <x v="4"/>
    <x v="291"/>
    <n v="4"/>
    <x v="1"/>
    <d v="2024-03-04T00:00:00"/>
    <x v="3"/>
  </r>
  <r>
    <s v="DBK-CMP-101188"/>
    <s v="DBK-CUS-501188"/>
    <x v="6"/>
    <x v="2"/>
    <x v="61"/>
    <n v="22"/>
    <x v="1"/>
    <d v="2024-05-24T00:00:00"/>
    <x v="3"/>
  </r>
  <r>
    <s v="DBK-CMP-101189"/>
    <s v="DBK-CUS-501189"/>
    <x v="7"/>
    <x v="1"/>
    <x v="259"/>
    <n v="18"/>
    <x v="1"/>
    <d v="2024-07-19T00:00:00"/>
    <x v="5"/>
  </r>
  <r>
    <s v="DBK-CMP-101190"/>
    <s v="DBK-CUS-501190"/>
    <x v="5"/>
    <x v="3"/>
    <x v="16"/>
    <n v="8"/>
    <x v="1"/>
    <d v="2024-06-18T00:00:00"/>
    <x v="3"/>
  </r>
  <r>
    <s v="DBK-CMP-101191"/>
    <s v="DBK-CUS-501191"/>
    <x v="2"/>
    <x v="0"/>
    <x v="291"/>
    <n v="50"/>
    <x v="1"/>
    <d v="2024-03-06T00:00:00"/>
    <x v="4"/>
  </r>
  <r>
    <s v="DBK-CMP-101192"/>
    <s v="DBK-CUS-501192"/>
    <x v="3"/>
    <x v="3"/>
    <x v="121"/>
    <n v="21"/>
    <x v="1"/>
    <d v="2024-10-14T00:00:00"/>
    <x v="5"/>
  </r>
  <r>
    <s v="DBK-CMP-101193"/>
    <s v="DBK-CUS-501193"/>
    <x v="6"/>
    <x v="2"/>
    <x v="195"/>
    <n v="16"/>
    <x v="1"/>
    <d v="2024-03-30T00:00:00"/>
    <x v="5"/>
  </r>
  <r>
    <s v="DBK-CMP-101194"/>
    <s v="DBK-CUS-501194"/>
    <x v="1"/>
    <x v="4"/>
    <x v="216"/>
    <n v="18"/>
    <x v="2"/>
    <m/>
    <x v="0"/>
  </r>
  <r>
    <s v="DBK-CMP-101195"/>
    <s v="DBK-CUS-501195"/>
    <x v="4"/>
    <x v="1"/>
    <x v="95"/>
    <n v="22"/>
    <x v="1"/>
    <d v="2024-04-06T00:00:00"/>
    <x v="3"/>
  </r>
  <r>
    <s v="DBK-CMP-101196"/>
    <s v="DBK-CUS-501196"/>
    <x v="6"/>
    <x v="2"/>
    <x v="263"/>
    <n v="3"/>
    <x v="0"/>
    <m/>
    <x v="0"/>
  </r>
  <r>
    <s v="DBK-CMP-101197"/>
    <s v="DBK-CUS-501197"/>
    <x v="5"/>
    <x v="2"/>
    <x v="176"/>
    <n v="12"/>
    <x v="1"/>
    <d v="2024-08-16T00:00:00"/>
    <x v="1"/>
  </r>
  <r>
    <s v="DBK-CMP-101198"/>
    <s v="DBK-CUS-501198"/>
    <x v="6"/>
    <x v="3"/>
    <x v="2"/>
    <n v="17"/>
    <x v="0"/>
    <m/>
    <x v="0"/>
  </r>
  <r>
    <s v="DBK-CMP-101199"/>
    <s v="DBK-CUS-501199"/>
    <x v="3"/>
    <x v="2"/>
    <x v="119"/>
    <n v="23"/>
    <x v="1"/>
    <d v="2024-07-03T00:00:0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474248-B39C-4226-B6B4-2CCE1C6F4765}"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E18:F31" firstHeaderRow="1" firstDataRow="1" firstDataCol="1"/>
  <pivotFields count="11">
    <pivotField dataField="1" showAll="0"/>
    <pivotField showAll="0"/>
    <pivotField showAll="0">
      <items count="9">
        <item x="7"/>
        <item x="0"/>
        <item x="6"/>
        <item x="2"/>
        <item x="1"/>
        <item x="4"/>
        <item x="3"/>
        <item x="5"/>
        <item t="default"/>
      </items>
    </pivotField>
    <pivotField showAll="0">
      <items count="6">
        <item x="1"/>
        <item x="2"/>
        <item x="0"/>
        <item x="4"/>
        <item x="3"/>
        <item t="default"/>
      </items>
    </pivotField>
    <pivotField numFmtId="164"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Count of Complaint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1ABD3D-D5C7-4E25-B8DC-6D2D65C828FD}"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B18:C24" firstHeaderRow="1" firstDataRow="1" firstDataCol="1"/>
  <pivotFields count="11">
    <pivotField showAll="0"/>
    <pivotField dataField="1" showAll="0"/>
    <pivotField showAll="0">
      <items count="9">
        <item x="7"/>
        <item x="0"/>
        <item x="6"/>
        <item x="2"/>
        <item x="1"/>
        <item x="4"/>
        <item x="3"/>
        <item x="5"/>
        <item t="default"/>
      </items>
    </pivotField>
    <pivotField showAll="0">
      <items count="6">
        <item x="1"/>
        <item x="2"/>
        <item x="0"/>
        <item x="4"/>
        <item x="3"/>
        <item t="default"/>
      </items>
    </pivotField>
    <pivotField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axis="axisRow" showAll="0">
      <items count="7">
        <item x="4"/>
        <item x="2"/>
        <item x="5"/>
        <item x="1"/>
        <item x="3"/>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Items count="1">
    <i/>
  </colItems>
  <dataFields count="1">
    <dataField name="Count of Customer_ID" fld="1" subtotal="count"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8" count="1" selected="0">
            <x v="0"/>
          </reference>
        </references>
      </pivotArea>
    </chartFormat>
    <chartFormat chart="3" format="9">
      <pivotArea type="data" outline="0" fieldPosition="0">
        <references count="2">
          <reference field="4294967294" count="1" selected="0">
            <x v="0"/>
          </reference>
          <reference field="8" count="1" selected="0">
            <x v="1"/>
          </reference>
        </references>
      </pivotArea>
    </chartFormat>
    <chartFormat chart="3" format="10">
      <pivotArea type="data" outline="0" fieldPosition="0">
        <references count="2">
          <reference field="4294967294" count="1" selected="0">
            <x v="0"/>
          </reference>
          <reference field="8" count="1" selected="0">
            <x v="2"/>
          </reference>
        </references>
      </pivotArea>
    </chartFormat>
    <chartFormat chart="3" format="11">
      <pivotArea type="data" outline="0" fieldPosition="0">
        <references count="2">
          <reference field="4294967294" count="1" selected="0">
            <x v="0"/>
          </reference>
          <reference field="8" count="1" selected="0">
            <x v="3"/>
          </reference>
        </references>
      </pivotArea>
    </chartFormat>
    <chartFormat chart="3"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3CF366-E2BC-4073-B0B8-1556DD1C9D83}"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H4:I10" firstHeaderRow="1" firstDataRow="1" firstDataCol="1"/>
  <pivotFields count="11">
    <pivotField showAll="0"/>
    <pivotField showAll="0"/>
    <pivotField showAll="0">
      <items count="9">
        <item x="7"/>
        <item x="0"/>
        <item x="6"/>
        <item x="2"/>
        <item x="1"/>
        <item x="4"/>
        <item x="3"/>
        <item x="5"/>
        <item t="default"/>
      </items>
    </pivotField>
    <pivotField axis="axisRow" showAll="0">
      <items count="6">
        <item x="1"/>
        <item x="2"/>
        <item x="0"/>
        <item x="4"/>
        <item x="3"/>
        <item t="default"/>
      </items>
    </pivotField>
    <pivotField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dataField="1" showAll="0"/>
    <pivotField showAll="0">
      <items count="4">
        <item x="0"/>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Average of Resolution_Time_Hours" fld="5" subtotal="average" baseField="3" baseItem="0"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98246E-0832-43E9-BC29-AB25DDC276DB}"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E4:F8" firstHeaderRow="1" firstDataRow="1" firstDataCol="1"/>
  <pivotFields count="11">
    <pivotField dataField="1" showAll="0"/>
    <pivotField showAll="0"/>
    <pivotField showAll="0">
      <items count="9">
        <item x="7"/>
        <item x="0"/>
        <item x="6"/>
        <item x="2"/>
        <item x="1"/>
        <item x="4"/>
        <item x="3"/>
        <item x="5"/>
        <item t="default"/>
      </items>
    </pivotField>
    <pivotField showAll="0">
      <items count="6">
        <item x="1"/>
        <item x="2"/>
        <item x="0"/>
        <item x="4"/>
        <item x="3"/>
        <item t="default"/>
      </items>
    </pivotField>
    <pivotField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axis="axisRow" showAll="0">
      <items count="4">
        <item x="0"/>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Items count="1">
    <i/>
  </colItems>
  <dataFields count="1">
    <dataField name="Count of Complaint_ID" fld="0"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55E750-543B-4152-B809-5F9249A99892}"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B4:C13" firstHeaderRow="1" firstDataRow="1" firstDataCol="1"/>
  <pivotFields count="11">
    <pivotField dataField="1" showAll="0"/>
    <pivotField showAll="0"/>
    <pivotField axis="axisRow" showAll="0">
      <items count="9">
        <item x="7"/>
        <item x="0"/>
        <item x="6"/>
        <item x="2"/>
        <item x="1"/>
        <item x="4"/>
        <item x="3"/>
        <item x="5"/>
        <item t="default"/>
      </items>
    </pivotField>
    <pivotField showAll="0">
      <items count="6">
        <item x="1"/>
        <item x="2"/>
        <item x="0"/>
        <item x="4"/>
        <item x="3"/>
        <item t="default"/>
      </items>
    </pivotField>
    <pivotField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9">
    <i>
      <x/>
    </i>
    <i>
      <x v="1"/>
    </i>
    <i>
      <x v="2"/>
    </i>
    <i>
      <x v="3"/>
    </i>
    <i>
      <x v="4"/>
    </i>
    <i>
      <x v="5"/>
    </i>
    <i>
      <x v="6"/>
    </i>
    <i>
      <x v="7"/>
    </i>
    <i t="grand">
      <x/>
    </i>
  </rowItems>
  <colItems count="1">
    <i/>
  </colItems>
  <dataFields count="1">
    <dataField name="Count of Complaint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F990301B-B052-4682-8155-DB220F292D75}" sourceName="Channel">
  <pivotTables>
    <pivotTable tabId="3" name="PivotTable4"/>
    <pivotTable tabId="3" name="PivotTable2"/>
    <pivotTable tabId="3" name="PivotTable3"/>
    <pivotTable tabId="3" name="PivotTable5"/>
    <pivotTable tabId="3" name="PivotTable9"/>
  </pivotTables>
  <data>
    <tabular pivotCacheId="2027586807">
      <items count="5">
        <i x="1" s="1"/>
        <i x="2"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aint_Type" xr10:uid="{D93FC798-627A-498A-BFF8-DF0D8325FA93}" sourceName="Complaint_Type">
  <pivotTables>
    <pivotTable tabId="3" name="PivotTable2"/>
    <pivotTable tabId="3" name="PivotTable3"/>
    <pivotTable tabId="3" name="PivotTable4"/>
    <pivotTable tabId="3" name="PivotTable5"/>
    <pivotTable tabId="3" name="PivotTable9"/>
  </pivotTables>
  <data>
    <tabular pivotCacheId="2027586807">
      <items count="8">
        <i x="7" s="1"/>
        <i x="0" s="1"/>
        <i x="6" s="1"/>
        <i x="2" s="1"/>
        <i x="1" s="1"/>
        <i x="4"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olution_Status" xr10:uid="{5E2FCFEF-EB70-4CDC-A956-6E2931CDDCCF}" sourceName="Resolution_Status">
  <pivotTables>
    <pivotTable tabId="3" name="PivotTable3"/>
    <pivotTable tabId="3" name="PivotTable2"/>
    <pivotTable tabId="3" name="PivotTable4"/>
    <pivotTable tabId="3" name="PivotTable5"/>
    <pivotTable tabId="3" name="PivotTable9"/>
  </pivotTables>
  <data>
    <tabular pivotCacheId="202758680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BE28C6E9-8921-4CA3-991F-53A5E561FD44}" cache="Slicer_Channel" caption="Channel" style="SlicerStyleDark3 2" rowHeight="234950"/>
  <slicer name="Complaint_Type" xr10:uid="{3339B2E9-D12D-4F18-A7FB-70350979C46B}" cache="Slicer_Complaint_Type" caption="Complaint Type" style="SlicerStyleDark3 2" rowHeight="234950"/>
  <slicer name="Resolution_Status" xr10:uid="{77B1713F-A817-4A45-A51B-3E5E994054F4}" cache="Slicer_Resolution_Status" caption="Resolution Status" columnCount="3" style="SlicerStyleDark3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3DFEE7-2C1E-4B7F-883D-46A5B8883914}" name="Table1" displayName="Table1" ref="A1:I1201" totalsRowShown="0" headerRowDxfId="4" headerRowBorderDxfId="3" tableBorderDxfId="2">
  <autoFilter ref="A1:I1201" xr:uid="{F33DFEE7-2C1E-4B7F-883D-46A5B8883914}"/>
  <tableColumns count="9">
    <tableColumn id="1" xr3:uid="{326C7E22-0A61-47B8-885C-47F31EB6D348}" name="Complaint_ID"/>
    <tableColumn id="2" xr3:uid="{7F8279BA-0D4F-4917-8355-0DF0FF4798AC}" name="Customer_ID"/>
    <tableColumn id="3" xr3:uid="{2BBE13B4-CCAD-4A12-AB44-B2446423362F}" name="Complaint_Type"/>
    <tableColumn id="4" xr3:uid="{9D91F401-3C2C-487A-92DE-C96AA33F6B89}" name="Channel"/>
    <tableColumn id="5" xr3:uid="{8CD92EA9-B483-4307-9E8B-9F6FBEFACBE6}" name="Complaint_Date" dataDxfId="1"/>
    <tableColumn id="6" xr3:uid="{560AA308-CD44-433E-BD2F-D4982F7CA8F5}" name="Resolution_Time_Hours"/>
    <tableColumn id="7" xr3:uid="{1DA5C390-F303-4707-AB02-8E50C7C9ABCB}" name="Resolution_Status"/>
    <tableColumn id="8" xr3:uid="{E0338AC6-0FE0-4DF4-AF3E-7111CEB51AE3}" name="Resolution_Date" dataDxfId="0"/>
    <tableColumn id="9" xr3:uid="{7D4A7675-BA2F-4C3F-BDE0-6F65DFC34C1B}" name="Customer_Rat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omplaint_Date" xr10:uid="{D04B8061-6EAB-42DA-A8DE-A9088B7D6902}" sourceName="Complaint_Date">
  <pivotTables>
    <pivotTable tabId="3" name="PivotTable9"/>
    <pivotTable tabId="3" name="PivotTable2"/>
    <pivotTable tabId="3" name="PivotTable3"/>
    <pivotTable tabId="3" name="PivotTable4"/>
    <pivotTable tabId="3" name="PivotTable5"/>
  </pivotTables>
  <state minimalRefreshVersion="6" lastRefreshVersion="6" pivotCacheId="202758680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mplaint_Date" xr10:uid="{CBB8A90E-5E17-4723-AFB8-578A74AE5191}" cache="NativeTimeline_Complaint_Date" caption="Complaint Month" showSelectionLabel="0" level="2" selectionLevel="2"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01"/>
  <sheetViews>
    <sheetView workbookViewId="0">
      <selection activeCell="I1" sqref="I1:I1048576"/>
    </sheetView>
  </sheetViews>
  <sheetFormatPr defaultRowHeight="14.4" x14ac:dyDescent="0.3"/>
  <cols>
    <col min="1" max="1" width="20.77734375" customWidth="1"/>
    <col min="2" max="2" width="20.6640625" customWidth="1"/>
    <col min="3" max="3" width="21.6640625" customWidth="1"/>
    <col min="4" max="4" width="13.33203125" customWidth="1"/>
    <col min="5" max="5" width="21.77734375" style="7" customWidth="1"/>
    <col min="6" max="6" width="22.77734375" customWidth="1"/>
    <col min="7" max="7" width="18" customWidth="1"/>
    <col min="8" max="8" width="18.6640625" customWidth="1"/>
    <col min="9" max="9" width="21" customWidth="1"/>
  </cols>
  <sheetData>
    <row r="1" spans="1:9" x14ac:dyDescent="0.3">
      <c r="A1" s="1" t="s">
        <v>0</v>
      </c>
      <c r="B1" s="1" t="s">
        <v>1</v>
      </c>
      <c r="C1" s="1" t="s">
        <v>2</v>
      </c>
      <c r="D1" s="1" t="s">
        <v>3</v>
      </c>
      <c r="E1" s="9" t="s">
        <v>4</v>
      </c>
      <c r="F1" s="1" t="s">
        <v>5</v>
      </c>
      <c r="G1" s="1" t="s">
        <v>6</v>
      </c>
      <c r="H1" s="10" t="s">
        <v>7</v>
      </c>
      <c r="I1" s="10" t="s">
        <v>8</v>
      </c>
    </row>
    <row r="2" spans="1:9" x14ac:dyDescent="0.3">
      <c r="A2" t="s">
        <v>9</v>
      </c>
      <c r="B2" t="s">
        <v>10</v>
      </c>
      <c r="C2" t="s">
        <v>11</v>
      </c>
      <c r="D2" t="s">
        <v>12</v>
      </c>
      <c r="E2" s="5">
        <v>45585</v>
      </c>
      <c r="F2">
        <v>13</v>
      </c>
      <c r="G2" t="s">
        <v>13</v>
      </c>
      <c r="H2" s="6"/>
    </row>
    <row r="3" spans="1:9" x14ac:dyDescent="0.3">
      <c r="A3" t="s">
        <v>14</v>
      </c>
      <c r="B3" t="s">
        <v>15</v>
      </c>
      <c r="C3" t="s">
        <v>16</v>
      </c>
      <c r="D3" t="s">
        <v>17</v>
      </c>
      <c r="E3" s="5">
        <v>45573</v>
      </c>
      <c r="F3">
        <v>10</v>
      </c>
      <c r="G3" t="s">
        <v>18</v>
      </c>
      <c r="H3" s="6">
        <v>45573</v>
      </c>
      <c r="I3">
        <v>4</v>
      </c>
    </row>
    <row r="4" spans="1:9" x14ac:dyDescent="0.3">
      <c r="A4" t="s">
        <v>19</v>
      </c>
      <c r="B4" t="s">
        <v>20</v>
      </c>
      <c r="C4" t="s">
        <v>11</v>
      </c>
      <c r="D4" t="s">
        <v>17</v>
      </c>
      <c r="E4" s="5">
        <v>45565</v>
      </c>
      <c r="F4">
        <v>38</v>
      </c>
      <c r="G4" t="s">
        <v>18</v>
      </c>
      <c r="H4" s="6">
        <v>45566</v>
      </c>
      <c r="I4">
        <v>2</v>
      </c>
    </row>
    <row r="5" spans="1:9" x14ac:dyDescent="0.3">
      <c r="A5" t="s">
        <v>21</v>
      </c>
      <c r="B5" t="s">
        <v>22</v>
      </c>
      <c r="C5" t="s">
        <v>16</v>
      </c>
      <c r="D5" t="s">
        <v>23</v>
      </c>
      <c r="E5" s="5">
        <v>45437</v>
      </c>
      <c r="F5">
        <v>6</v>
      </c>
      <c r="G5" t="s">
        <v>18</v>
      </c>
      <c r="H5" s="6">
        <v>45437</v>
      </c>
      <c r="I5">
        <v>5</v>
      </c>
    </row>
    <row r="6" spans="1:9" x14ac:dyDescent="0.3">
      <c r="A6" t="s">
        <v>24</v>
      </c>
      <c r="B6" t="s">
        <v>25</v>
      </c>
      <c r="C6" t="s">
        <v>16</v>
      </c>
      <c r="D6" t="s">
        <v>17</v>
      </c>
      <c r="E6" s="5">
        <v>45359</v>
      </c>
      <c r="F6">
        <v>9</v>
      </c>
      <c r="G6" t="s">
        <v>13</v>
      </c>
      <c r="H6" s="6"/>
    </row>
    <row r="7" spans="1:9" x14ac:dyDescent="0.3">
      <c r="A7" t="s">
        <v>26</v>
      </c>
      <c r="B7" t="s">
        <v>27</v>
      </c>
      <c r="C7" t="s">
        <v>28</v>
      </c>
      <c r="D7" t="s">
        <v>12</v>
      </c>
      <c r="E7" s="5">
        <v>45637</v>
      </c>
      <c r="F7">
        <v>48</v>
      </c>
      <c r="G7" t="s">
        <v>13</v>
      </c>
      <c r="H7" s="6"/>
    </row>
    <row r="8" spans="1:9" x14ac:dyDescent="0.3">
      <c r="A8" t="s">
        <v>29</v>
      </c>
      <c r="B8" t="s">
        <v>30</v>
      </c>
      <c r="C8" t="s">
        <v>16</v>
      </c>
      <c r="D8" t="s">
        <v>31</v>
      </c>
      <c r="E8" s="5">
        <v>45470</v>
      </c>
      <c r="F8">
        <v>33</v>
      </c>
      <c r="G8" t="s">
        <v>32</v>
      </c>
      <c r="H8" s="6"/>
    </row>
    <row r="9" spans="1:9" x14ac:dyDescent="0.3">
      <c r="A9" t="s">
        <v>33</v>
      </c>
      <c r="B9" t="s">
        <v>34</v>
      </c>
      <c r="C9" t="s">
        <v>35</v>
      </c>
      <c r="D9" t="s">
        <v>17</v>
      </c>
      <c r="E9" s="5">
        <v>45622</v>
      </c>
      <c r="F9">
        <v>42</v>
      </c>
      <c r="G9" t="s">
        <v>18</v>
      </c>
      <c r="H9" s="6">
        <v>45623</v>
      </c>
      <c r="I9">
        <v>2</v>
      </c>
    </row>
    <row r="10" spans="1:9" x14ac:dyDescent="0.3">
      <c r="A10" t="s">
        <v>36</v>
      </c>
      <c r="B10" t="s">
        <v>37</v>
      </c>
      <c r="C10" t="s">
        <v>38</v>
      </c>
      <c r="D10" t="s">
        <v>17</v>
      </c>
      <c r="E10" s="5">
        <v>45489</v>
      </c>
      <c r="F10">
        <v>26</v>
      </c>
      <c r="G10" t="s">
        <v>18</v>
      </c>
      <c r="H10" s="6">
        <v>45490</v>
      </c>
      <c r="I10">
        <v>5</v>
      </c>
    </row>
    <row r="11" spans="1:9" x14ac:dyDescent="0.3">
      <c r="A11" t="s">
        <v>39</v>
      </c>
      <c r="B11" t="s">
        <v>40</v>
      </c>
      <c r="C11" t="s">
        <v>41</v>
      </c>
      <c r="D11" t="s">
        <v>23</v>
      </c>
      <c r="E11" s="5">
        <v>45368</v>
      </c>
      <c r="F11">
        <v>4</v>
      </c>
      <c r="G11" t="s">
        <v>32</v>
      </c>
      <c r="H11" s="6"/>
    </row>
    <row r="12" spans="1:9" x14ac:dyDescent="0.3">
      <c r="A12" t="s">
        <v>42</v>
      </c>
      <c r="B12" t="s">
        <v>43</v>
      </c>
      <c r="C12" t="s">
        <v>11</v>
      </c>
      <c r="D12" t="s">
        <v>31</v>
      </c>
      <c r="E12" s="5">
        <v>45294</v>
      </c>
      <c r="F12">
        <v>46</v>
      </c>
      <c r="G12" t="s">
        <v>32</v>
      </c>
      <c r="H12" s="6"/>
    </row>
    <row r="13" spans="1:9" x14ac:dyDescent="0.3">
      <c r="A13" t="s">
        <v>44</v>
      </c>
      <c r="B13" t="s">
        <v>45</v>
      </c>
      <c r="C13" t="s">
        <v>11</v>
      </c>
      <c r="D13" t="s">
        <v>23</v>
      </c>
      <c r="E13" s="5">
        <v>45553</v>
      </c>
      <c r="F13">
        <v>37</v>
      </c>
      <c r="G13" t="s">
        <v>32</v>
      </c>
      <c r="H13" s="6"/>
    </row>
    <row r="14" spans="1:9" x14ac:dyDescent="0.3">
      <c r="A14" t="s">
        <v>46</v>
      </c>
      <c r="B14" t="s">
        <v>47</v>
      </c>
      <c r="C14" t="s">
        <v>35</v>
      </c>
      <c r="D14" t="s">
        <v>17</v>
      </c>
      <c r="E14" s="5">
        <v>45524</v>
      </c>
      <c r="F14">
        <v>53</v>
      </c>
      <c r="G14" t="s">
        <v>18</v>
      </c>
      <c r="H14" s="6">
        <v>45526</v>
      </c>
      <c r="I14">
        <v>1</v>
      </c>
    </row>
    <row r="15" spans="1:9" x14ac:dyDescent="0.3">
      <c r="A15" t="s">
        <v>48</v>
      </c>
      <c r="B15" t="s">
        <v>49</v>
      </c>
      <c r="C15" t="s">
        <v>35</v>
      </c>
      <c r="D15" t="s">
        <v>12</v>
      </c>
      <c r="E15" s="5">
        <v>45648</v>
      </c>
      <c r="F15">
        <v>23</v>
      </c>
      <c r="G15" t="s">
        <v>18</v>
      </c>
      <c r="H15" s="6">
        <v>45648</v>
      </c>
      <c r="I15">
        <v>3</v>
      </c>
    </row>
    <row r="16" spans="1:9" x14ac:dyDescent="0.3">
      <c r="A16" t="s">
        <v>50</v>
      </c>
      <c r="B16" t="s">
        <v>51</v>
      </c>
      <c r="C16" t="s">
        <v>52</v>
      </c>
      <c r="D16" t="s">
        <v>17</v>
      </c>
      <c r="E16" s="5">
        <v>45499</v>
      </c>
      <c r="F16">
        <v>8</v>
      </c>
      <c r="G16" t="s">
        <v>18</v>
      </c>
      <c r="H16" s="6">
        <v>45499</v>
      </c>
      <c r="I16">
        <v>4</v>
      </c>
    </row>
    <row r="17" spans="1:9" x14ac:dyDescent="0.3">
      <c r="A17" t="s">
        <v>53</v>
      </c>
      <c r="B17" t="s">
        <v>54</v>
      </c>
      <c r="C17" t="s">
        <v>52</v>
      </c>
      <c r="D17" t="s">
        <v>23</v>
      </c>
      <c r="E17" s="5">
        <v>45532</v>
      </c>
      <c r="F17">
        <v>13</v>
      </c>
      <c r="G17" t="s">
        <v>32</v>
      </c>
      <c r="H17" s="6"/>
    </row>
    <row r="18" spans="1:9" x14ac:dyDescent="0.3">
      <c r="A18" t="s">
        <v>55</v>
      </c>
      <c r="B18" t="s">
        <v>56</v>
      </c>
      <c r="C18" t="s">
        <v>41</v>
      </c>
      <c r="D18" t="s">
        <v>17</v>
      </c>
      <c r="E18" s="5">
        <v>45565</v>
      </c>
      <c r="F18">
        <v>3</v>
      </c>
      <c r="G18" t="s">
        <v>18</v>
      </c>
      <c r="H18" s="6">
        <v>45565</v>
      </c>
      <c r="I18">
        <v>5</v>
      </c>
    </row>
    <row r="19" spans="1:9" x14ac:dyDescent="0.3">
      <c r="A19" t="s">
        <v>57</v>
      </c>
      <c r="B19" t="s">
        <v>58</v>
      </c>
      <c r="C19" t="s">
        <v>35</v>
      </c>
      <c r="D19" t="s">
        <v>17</v>
      </c>
      <c r="E19" s="5">
        <v>45461</v>
      </c>
      <c r="F19">
        <v>13</v>
      </c>
      <c r="G19" t="s">
        <v>18</v>
      </c>
      <c r="H19" s="6">
        <v>45461</v>
      </c>
      <c r="I19">
        <v>3</v>
      </c>
    </row>
    <row r="20" spans="1:9" x14ac:dyDescent="0.3">
      <c r="A20" t="s">
        <v>59</v>
      </c>
      <c r="B20" t="s">
        <v>60</v>
      </c>
      <c r="C20" t="s">
        <v>35</v>
      </c>
      <c r="D20" t="s">
        <v>31</v>
      </c>
      <c r="E20" s="5">
        <v>45544</v>
      </c>
      <c r="F20">
        <v>59</v>
      </c>
      <c r="G20" t="s">
        <v>32</v>
      </c>
      <c r="H20" s="6"/>
    </row>
    <row r="21" spans="1:9" x14ac:dyDescent="0.3">
      <c r="A21" t="s">
        <v>61</v>
      </c>
      <c r="B21" t="s">
        <v>62</v>
      </c>
      <c r="C21" t="s">
        <v>28</v>
      </c>
      <c r="D21" t="s">
        <v>31</v>
      </c>
      <c r="E21" s="5">
        <v>45352</v>
      </c>
      <c r="F21">
        <v>63</v>
      </c>
      <c r="G21" t="s">
        <v>18</v>
      </c>
      <c r="H21" s="6">
        <v>45354</v>
      </c>
      <c r="I21">
        <v>1</v>
      </c>
    </row>
    <row r="22" spans="1:9" x14ac:dyDescent="0.3">
      <c r="A22" t="s">
        <v>63</v>
      </c>
      <c r="B22" t="s">
        <v>64</v>
      </c>
      <c r="C22" t="s">
        <v>52</v>
      </c>
      <c r="D22" t="s">
        <v>17</v>
      </c>
      <c r="E22" s="5">
        <v>45460</v>
      </c>
      <c r="F22">
        <v>7</v>
      </c>
      <c r="G22" t="s">
        <v>18</v>
      </c>
      <c r="H22" s="6">
        <v>45460</v>
      </c>
      <c r="I22">
        <v>4</v>
      </c>
    </row>
    <row r="23" spans="1:9" x14ac:dyDescent="0.3">
      <c r="A23" t="s">
        <v>65</v>
      </c>
      <c r="B23" t="s">
        <v>66</v>
      </c>
      <c r="C23" t="s">
        <v>41</v>
      </c>
      <c r="D23" t="s">
        <v>17</v>
      </c>
      <c r="E23" s="5">
        <v>45351</v>
      </c>
      <c r="F23">
        <v>1</v>
      </c>
      <c r="G23" t="s">
        <v>32</v>
      </c>
      <c r="H23" s="6"/>
    </row>
    <row r="24" spans="1:9" x14ac:dyDescent="0.3">
      <c r="A24" t="s">
        <v>67</v>
      </c>
      <c r="B24" t="s">
        <v>68</v>
      </c>
      <c r="C24" t="s">
        <v>35</v>
      </c>
      <c r="D24" t="s">
        <v>69</v>
      </c>
      <c r="E24" s="5">
        <v>45334</v>
      </c>
      <c r="F24">
        <v>37</v>
      </c>
      <c r="G24" t="s">
        <v>18</v>
      </c>
      <c r="H24" s="6">
        <v>45335</v>
      </c>
      <c r="I24">
        <v>2</v>
      </c>
    </row>
    <row r="25" spans="1:9" x14ac:dyDescent="0.3">
      <c r="A25" t="s">
        <v>70</v>
      </c>
      <c r="B25" t="s">
        <v>71</v>
      </c>
      <c r="C25" t="s">
        <v>38</v>
      </c>
      <c r="D25" t="s">
        <v>23</v>
      </c>
      <c r="E25" s="5">
        <v>45309</v>
      </c>
      <c r="F25">
        <v>37</v>
      </c>
      <c r="G25" t="s">
        <v>13</v>
      </c>
      <c r="H25" s="6"/>
    </row>
    <row r="26" spans="1:9" x14ac:dyDescent="0.3">
      <c r="A26" t="s">
        <v>72</v>
      </c>
      <c r="B26" t="s">
        <v>73</v>
      </c>
      <c r="C26" t="s">
        <v>11</v>
      </c>
      <c r="D26" t="s">
        <v>12</v>
      </c>
      <c r="E26" s="5">
        <v>45402</v>
      </c>
      <c r="F26">
        <v>14</v>
      </c>
      <c r="G26" t="s">
        <v>18</v>
      </c>
      <c r="H26" s="6">
        <v>45402</v>
      </c>
      <c r="I26">
        <v>3</v>
      </c>
    </row>
    <row r="27" spans="1:9" x14ac:dyDescent="0.3">
      <c r="A27" t="s">
        <v>74</v>
      </c>
      <c r="B27" t="s">
        <v>75</v>
      </c>
      <c r="C27" t="s">
        <v>28</v>
      </c>
      <c r="D27" t="s">
        <v>17</v>
      </c>
      <c r="E27" s="5">
        <v>45551</v>
      </c>
      <c r="F27">
        <v>88</v>
      </c>
      <c r="G27" t="s">
        <v>18</v>
      </c>
      <c r="H27" s="6">
        <v>45554</v>
      </c>
      <c r="I27">
        <v>5</v>
      </c>
    </row>
    <row r="28" spans="1:9" x14ac:dyDescent="0.3">
      <c r="A28" t="s">
        <v>76</v>
      </c>
      <c r="B28" t="s">
        <v>77</v>
      </c>
      <c r="C28" t="s">
        <v>78</v>
      </c>
      <c r="D28" t="s">
        <v>31</v>
      </c>
      <c r="E28" s="5">
        <v>45312</v>
      </c>
      <c r="F28">
        <v>2</v>
      </c>
      <c r="G28" t="s">
        <v>18</v>
      </c>
      <c r="H28" s="6">
        <v>45312</v>
      </c>
      <c r="I28">
        <v>5</v>
      </c>
    </row>
    <row r="29" spans="1:9" x14ac:dyDescent="0.3">
      <c r="A29" t="s">
        <v>79</v>
      </c>
      <c r="B29" t="s">
        <v>80</v>
      </c>
      <c r="C29" t="s">
        <v>78</v>
      </c>
      <c r="D29" t="s">
        <v>17</v>
      </c>
      <c r="E29" s="5">
        <v>45322</v>
      </c>
      <c r="F29">
        <v>3</v>
      </c>
      <c r="G29" t="s">
        <v>32</v>
      </c>
      <c r="H29" s="6"/>
    </row>
    <row r="30" spans="1:9" x14ac:dyDescent="0.3">
      <c r="A30" t="s">
        <v>81</v>
      </c>
      <c r="B30" t="s">
        <v>82</v>
      </c>
      <c r="C30" t="s">
        <v>16</v>
      </c>
      <c r="D30" t="s">
        <v>17</v>
      </c>
      <c r="E30" s="5">
        <v>45298</v>
      </c>
      <c r="F30">
        <v>4</v>
      </c>
      <c r="G30" t="s">
        <v>13</v>
      </c>
      <c r="H30" s="6"/>
    </row>
    <row r="31" spans="1:9" x14ac:dyDescent="0.3">
      <c r="A31" t="s">
        <v>83</v>
      </c>
      <c r="B31" t="s">
        <v>84</v>
      </c>
      <c r="C31" t="s">
        <v>28</v>
      </c>
      <c r="D31" t="s">
        <v>12</v>
      </c>
      <c r="E31" s="5">
        <v>45504</v>
      </c>
      <c r="F31">
        <v>77</v>
      </c>
      <c r="G31" t="s">
        <v>18</v>
      </c>
      <c r="H31" s="6">
        <v>45507</v>
      </c>
      <c r="I31">
        <v>5</v>
      </c>
    </row>
    <row r="32" spans="1:9" x14ac:dyDescent="0.3">
      <c r="A32" t="s">
        <v>85</v>
      </c>
      <c r="B32" t="s">
        <v>86</v>
      </c>
      <c r="C32" t="s">
        <v>41</v>
      </c>
      <c r="D32" t="s">
        <v>23</v>
      </c>
      <c r="E32" s="5">
        <v>45356</v>
      </c>
      <c r="F32">
        <v>5</v>
      </c>
      <c r="G32" t="s">
        <v>18</v>
      </c>
      <c r="H32" s="6">
        <v>45356</v>
      </c>
      <c r="I32">
        <v>5</v>
      </c>
    </row>
    <row r="33" spans="1:9" x14ac:dyDescent="0.3">
      <c r="A33" t="s">
        <v>87</v>
      </c>
      <c r="B33" t="s">
        <v>88</v>
      </c>
      <c r="C33" t="s">
        <v>28</v>
      </c>
      <c r="D33" t="s">
        <v>12</v>
      </c>
      <c r="E33" s="5">
        <v>45517</v>
      </c>
      <c r="F33">
        <v>83</v>
      </c>
      <c r="G33" t="s">
        <v>32</v>
      </c>
      <c r="H33" s="6"/>
    </row>
    <row r="34" spans="1:9" x14ac:dyDescent="0.3">
      <c r="A34" t="s">
        <v>89</v>
      </c>
      <c r="B34" t="s">
        <v>90</v>
      </c>
      <c r="C34" t="s">
        <v>35</v>
      </c>
      <c r="D34" t="s">
        <v>31</v>
      </c>
      <c r="E34" s="5">
        <v>45322</v>
      </c>
      <c r="F34">
        <v>50</v>
      </c>
      <c r="G34" t="s">
        <v>18</v>
      </c>
      <c r="H34" s="6">
        <v>45324</v>
      </c>
      <c r="I34">
        <v>1</v>
      </c>
    </row>
    <row r="35" spans="1:9" x14ac:dyDescent="0.3">
      <c r="A35" t="s">
        <v>91</v>
      </c>
      <c r="B35" t="s">
        <v>92</v>
      </c>
      <c r="C35" t="s">
        <v>28</v>
      </c>
      <c r="D35" t="s">
        <v>31</v>
      </c>
      <c r="E35" s="5">
        <v>45460</v>
      </c>
      <c r="F35">
        <v>60</v>
      </c>
      <c r="G35" t="s">
        <v>18</v>
      </c>
      <c r="H35" s="6">
        <v>45462</v>
      </c>
      <c r="I35">
        <v>1</v>
      </c>
    </row>
    <row r="36" spans="1:9" x14ac:dyDescent="0.3">
      <c r="A36" t="s">
        <v>93</v>
      </c>
      <c r="B36" t="s">
        <v>94</v>
      </c>
      <c r="C36" t="s">
        <v>38</v>
      </c>
      <c r="D36" t="s">
        <v>23</v>
      </c>
      <c r="E36" s="5">
        <v>45379</v>
      </c>
      <c r="F36">
        <v>64</v>
      </c>
      <c r="G36" t="s">
        <v>18</v>
      </c>
      <c r="H36" s="6">
        <v>45381</v>
      </c>
      <c r="I36">
        <v>1</v>
      </c>
    </row>
    <row r="37" spans="1:9" x14ac:dyDescent="0.3">
      <c r="A37" t="s">
        <v>95</v>
      </c>
      <c r="B37" t="s">
        <v>96</v>
      </c>
      <c r="C37" t="s">
        <v>35</v>
      </c>
      <c r="D37" t="s">
        <v>23</v>
      </c>
      <c r="E37" s="5">
        <v>45613</v>
      </c>
      <c r="F37">
        <v>36</v>
      </c>
      <c r="G37" t="s">
        <v>32</v>
      </c>
      <c r="H37" s="6"/>
    </row>
    <row r="38" spans="1:9" x14ac:dyDescent="0.3">
      <c r="A38" t="s">
        <v>97</v>
      </c>
      <c r="B38" t="s">
        <v>98</v>
      </c>
      <c r="C38" t="s">
        <v>78</v>
      </c>
      <c r="D38" t="s">
        <v>17</v>
      </c>
      <c r="E38" s="5">
        <v>45304</v>
      </c>
      <c r="F38">
        <v>13</v>
      </c>
      <c r="G38" t="s">
        <v>18</v>
      </c>
      <c r="H38" s="6">
        <v>45304</v>
      </c>
      <c r="I38">
        <v>5</v>
      </c>
    </row>
    <row r="39" spans="1:9" x14ac:dyDescent="0.3">
      <c r="A39" t="s">
        <v>99</v>
      </c>
      <c r="B39" t="s">
        <v>100</v>
      </c>
      <c r="C39" t="s">
        <v>28</v>
      </c>
      <c r="D39" t="s">
        <v>23</v>
      </c>
      <c r="E39" s="5">
        <v>45512</v>
      </c>
      <c r="F39">
        <v>31</v>
      </c>
      <c r="G39" t="s">
        <v>18</v>
      </c>
      <c r="H39" s="6">
        <v>45513</v>
      </c>
      <c r="I39">
        <v>2</v>
      </c>
    </row>
    <row r="40" spans="1:9" x14ac:dyDescent="0.3">
      <c r="A40" t="s">
        <v>101</v>
      </c>
      <c r="B40" t="s">
        <v>102</v>
      </c>
      <c r="C40" t="s">
        <v>38</v>
      </c>
      <c r="D40" t="s">
        <v>17</v>
      </c>
      <c r="E40" s="5">
        <v>45338</v>
      </c>
      <c r="F40">
        <v>64</v>
      </c>
      <c r="G40" t="s">
        <v>32</v>
      </c>
      <c r="H40" s="6"/>
    </row>
    <row r="41" spans="1:9" x14ac:dyDescent="0.3">
      <c r="A41" t="s">
        <v>103</v>
      </c>
      <c r="B41" t="s">
        <v>104</v>
      </c>
      <c r="C41" t="s">
        <v>11</v>
      </c>
      <c r="D41" t="s">
        <v>31</v>
      </c>
      <c r="E41" s="5">
        <v>45464</v>
      </c>
      <c r="F41">
        <v>22</v>
      </c>
      <c r="G41" t="s">
        <v>18</v>
      </c>
      <c r="H41" s="6">
        <v>45464</v>
      </c>
      <c r="I41">
        <v>3</v>
      </c>
    </row>
    <row r="42" spans="1:9" x14ac:dyDescent="0.3">
      <c r="A42" t="s">
        <v>105</v>
      </c>
      <c r="B42" t="s">
        <v>106</v>
      </c>
      <c r="C42" t="s">
        <v>52</v>
      </c>
      <c r="D42" t="s">
        <v>31</v>
      </c>
      <c r="E42" s="5">
        <v>45576</v>
      </c>
      <c r="F42">
        <v>10</v>
      </c>
      <c r="G42" t="s">
        <v>13</v>
      </c>
      <c r="H42" s="6"/>
    </row>
    <row r="43" spans="1:9" x14ac:dyDescent="0.3">
      <c r="A43" t="s">
        <v>107</v>
      </c>
      <c r="B43" t="s">
        <v>108</v>
      </c>
      <c r="C43" t="s">
        <v>38</v>
      </c>
      <c r="D43" t="s">
        <v>17</v>
      </c>
      <c r="E43" s="5">
        <v>45430</v>
      </c>
      <c r="F43">
        <v>44</v>
      </c>
      <c r="G43" t="s">
        <v>18</v>
      </c>
      <c r="H43" s="6">
        <v>45431</v>
      </c>
      <c r="I43">
        <v>2</v>
      </c>
    </row>
    <row r="44" spans="1:9" x14ac:dyDescent="0.3">
      <c r="A44" t="s">
        <v>109</v>
      </c>
      <c r="B44" t="s">
        <v>110</v>
      </c>
      <c r="C44" t="s">
        <v>28</v>
      </c>
      <c r="D44" t="s">
        <v>23</v>
      </c>
      <c r="E44" s="5">
        <v>45517</v>
      </c>
      <c r="F44">
        <v>69</v>
      </c>
      <c r="G44" t="s">
        <v>13</v>
      </c>
      <c r="H44" s="6"/>
    </row>
    <row r="45" spans="1:9" x14ac:dyDescent="0.3">
      <c r="A45" t="s">
        <v>111</v>
      </c>
      <c r="B45" t="s">
        <v>112</v>
      </c>
      <c r="C45" t="s">
        <v>11</v>
      </c>
      <c r="D45" t="s">
        <v>31</v>
      </c>
      <c r="E45" s="5">
        <v>45438</v>
      </c>
      <c r="F45">
        <v>23</v>
      </c>
      <c r="G45" t="s">
        <v>13</v>
      </c>
      <c r="H45" s="6"/>
    </row>
    <row r="46" spans="1:9" x14ac:dyDescent="0.3">
      <c r="A46" t="s">
        <v>113</v>
      </c>
      <c r="B46" t="s">
        <v>114</v>
      </c>
      <c r="C46" t="s">
        <v>41</v>
      </c>
      <c r="D46" t="s">
        <v>69</v>
      </c>
      <c r="E46" s="5">
        <v>45352</v>
      </c>
      <c r="F46">
        <v>10</v>
      </c>
      <c r="G46" t="s">
        <v>18</v>
      </c>
      <c r="H46" s="6">
        <v>45352</v>
      </c>
      <c r="I46">
        <v>5</v>
      </c>
    </row>
    <row r="47" spans="1:9" x14ac:dyDescent="0.3">
      <c r="A47" t="s">
        <v>115</v>
      </c>
      <c r="B47" t="s">
        <v>116</v>
      </c>
      <c r="C47" t="s">
        <v>41</v>
      </c>
      <c r="D47" t="s">
        <v>69</v>
      </c>
      <c r="E47" s="5">
        <v>45530</v>
      </c>
      <c r="F47">
        <v>10</v>
      </c>
      <c r="G47" t="s">
        <v>18</v>
      </c>
      <c r="H47" s="6">
        <v>45530</v>
      </c>
      <c r="I47">
        <v>4</v>
      </c>
    </row>
    <row r="48" spans="1:9" x14ac:dyDescent="0.3">
      <c r="A48" t="s">
        <v>117</v>
      </c>
      <c r="B48" t="s">
        <v>118</v>
      </c>
      <c r="C48" t="s">
        <v>11</v>
      </c>
      <c r="D48" t="s">
        <v>69</v>
      </c>
      <c r="E48" s="5">
        <v>45656</v>
      </c>
      <c r="F48">
        <v>6</v>
      </c>
      <c r="G48" t="s">
        <v>18</v>
      </c>
      <c r="H48" s="6">
        <v>45656</v>
      </c>
      <c r="I48">
        <v>5</v>
      </c>
    </row>
    <row r="49" spans="1:9" x14ac:dyDescent="0.3">
      <c r="A49" t="s">
        <v>119</v>
      </c>
      <c r="B49" t="s">
        <v>120</v>
      </c>
      <c r="C49" t="s">
        <v>41</v>
      </c>
      <c r="D49" t="s">
        <v>17</v>
      </c>
      <c r="E49" s="5">
        <v>45528</v>
      </c>
      <c r="F49">
        <v>8</v>
      </c>
      <c r="G49" t="s">
        <v>18</v>
      </c>
      <c r="H49" s="6">
        <v>45528</v>
      </c>
      <c r="I49">
        <v>4</v>
      </c>
    </row>
    <row r="50" spans="1:9" x14ac:dyDescent="0.3">
      <c r="A50" t="s">
        <v>121</v>
      </c>
      <c r="B50" t="s">
        <v>122</v>
      </c>
      <c r="C50" t="s">
        <v>38</v>
      </c>
      <c r="D50" t="s">
        <v>17</v>
      </c>
      <c r="E50" s="5">
        <v>45385</v>
      </c>
      <c r="F50">
        <v>51</v>
      </c>
      <c r="G50" t="s">
        <v>18</v>
      </c>
      <c r="H50" s="6">
        <v>45387</v>
      </c>
      <c r="I50">
        <v>1</v>
      </c>
    </row>
    <row r="51" spans="1:9" x14ac:dyDescent="0.3">
      <c r="A51" t="s">
        <v>123</v>
      </c>
      <c r="B51" t="s">
        <v>124</v>
      </c>
      <c r="C51" t="s">
        <v>52</v>
      </c>
      <c r="D51" t="s">
        <v>69</v>
      </c>
      <c r="E51" s="5">
        <v>45347</v>
      </c>
      <c r="F51">
        <v>15</v>
      </c>
      <c r="G51" t="s">
        <v>18</v>
      </c>
      <c r="H51" s="6">
        <v>45347</v>
      </c>
      <c r="I51">
        <v>3</v>
      </c>
    </row>
    <row r="52" spans="1:9" x14ac:dyDescent="0.3">
      <c r="A52" t="s">
        <v>125</v>
      </c>
      <c r="B52" t="s">
        <v>126</v>
      </c>
      <c r="C52" t="s">
        <v>11</v>
      </c>
      <c r="D52" t="s">
        <v>31</v>
      </c>
      <c r="E52" s="5">
        <v>45649</v>
      </c>
      <c r="F52">
        <v>15</v>
      </c>
      <c r="G52" t="s">
        <v>13</v>
      </c>
      <c r="H52" s="6"/>
    </row>
    <row r="53" spans="1:9" x14ac:dyDescent="0.3">
      <c r="A53" t="s">
        <v>127</v>
      </c>
      <c r="B53" t="s">
        <v>128</v>
      </c>
      <c r="C53" t="s">
        <v>28</v>
      </c>
      <c r="D53" t="s">
        <v>69</v>
      </c>
      <c r="E53" s="5">
        <v>45323</v>
      </c>
      <c r="F53">
        <v>65</v>
      </c>
      <c r="G53" t="s">
        <v>13</v>
      </c>
      <c r="H53" s="6"/>
    </row>
    <row r="54" spans="1:9" x14ac:dyDescent="0.3">
      <c r="A54" t="s">
        <v>129</v>
      </c>
      <c r="B54" t="s">
        <v>130</v>
      </c>
      <c r="C54" t="s">
        <v>41</v>
      </c>
      <c r="D54" t="s">
        <v>12</v>
      </c>
      <c r="E54" s="5">
        <v>45600</v>
      </c>
      <c r="F54">
        <v>6</v>
      </c>
      <c r="G54" t="s">
        <v>13</v>
      </c>
      <c r="H54" s="6"/>
    </row>
    <row r="55" spans="1:9" x14ac:dyDescent="0.3">
      <c r="A55" t="s">
        <v>131</v>
      </c>
      <c r="B55" t="s">
        <v>132</v>
      </c>
      <c r="C55" t="s">
        <v>52</v>
      </c>
      <c r="D55" t="s">
        <v>23</v>
      </c>
      <c r="E55" s="5">
        <v>45531</v>
      </c>
      <c r="F55">
        <v>13</v>
      </c>
      <c r="G55" t="s">
        <v>18</v>
      </c>
      <c r="H55" s="6">
        <v>45531</v>
      </c>
      <c r="I55">
        <v>3</v>
      </c>
    </row>
    <row r="56" spans="1:9" x14ac:dyDescent="0.3">
      <c r="A56" t="s">
        <v>133</v>
      </c>
      <c r="B56" t="s">
        <v>134</v>
      </c>
      <c r="C56" t="s">
        <v>11</v>
      </c>
      <c r="D56" t="s">
        <v>12</v>
      </c>
      <c r="E56" s="5">
        <v>45501</v>
      </c>
      <c r="F56">
        <v>14</v>
      </c>
      <c r="G56" t="s">
        <v>32</v>
      </c>
      <c r="H56" s="6"/>
    </row>
    <row r="57" spans="1:9" x14ac:dyDescent="0.3">
      <c r="A57" t="s">
        <v>135</v>
      </c>
      <c r="B57" t="s">
        <v>136</v>
      </c>
      <c r="C57" t="s">
        <v>78</v>
      </c>
      <c r="D57" t="s">
        <v>12</v>
      </c>
      <c r="E57" s="5">
        <v>45515</v>
      </c>
      <c r="F57">
        <v>21</v>
      </c>
      <c r="G57" t="s">
        <v>13</v>
      </c>
      <c r="H57" s="6"/>
    </row>
    <row r="58" spans="1:9" x14ac:dyDescent="0.3">
      <c r="A58" t="s">
        <v>137</v>
      </c>
      <c r="B58" t="s">
        <v>138</v>
      </c>
      <c r="C58" t="s">
        <v>28</v>
      </c>
      <c r="D58" t="s">
        <v>31</v>
      </c>
      <c r="E58" s="5">
        <v>45535</v>
      </c>
      <c r="F58">
        <v>95</v>
      </c>
      <c r="G58" t="s">
        <v>18</v>
      </c>
      <c r="H58" s="6">
        <v>45538</v>
      </c>
      <c r="I58">
        <v>1</v>
      </c>
    </row>
    <row r="59" spans="1:9" x14ac:dyDescent="0.3">
      <c r="A59" t="s">
        <v>139</v>
      </c>
      <c r="B59" t="s">
        <v>140</v>
      </c>
      <c r="C59" t="s">
        <v>38</v>
      </c>
      <c r="D59" t="s">
        <v>17</v>
      </c>
      <c r="E59" s="5">
        <v>45301</v>
      </c>
      <c r="F59">
        <v>72</v>
      </c>
      <c r="G59" t="s">
        <v>18</v>
      </c>
      <c r="H59" s="6">
        <v>45304</v>
      </c>
      <c r="I59">
        <v>1</v>
      </c>
    </row>
    <row r="60" spans="1:9" x14ac:dyDescent="0.3">
      <c r="A60" t="s">
        <v>141</v>
      </c>
      <c r="B60" t="s">
        <v>142</v>
      </c>
      <c r="C60" t="s">
        <v>41</v>
      </c>
      <c r="D60" t="s">
        <v>12</v>
      </c>
      <c r="E60" s="5">
        <v>45641</v>
      </c>
      <c r="F60">
        <v>6</v>
      </c>
      <c r="G60" t="s">
        <v>13</v>
      </c>
      <c r="H60" s="6"/>
    </row>
    <row r="61" spans="1:9" x14ac:dyDescent="0.3">
      <c r="A61" t="s">
        <v>143</v>
      </c>
      <c r="B61" t="s">
        <v>144</v>
      </c>
      <c r="C61" t="s">
        <v>28</v>
      </c>
      <c r="D61" t="s">
        <v>69</v>
      </c>
      <c r="E61" s="5">
        <v>45431</v>
      </c>
      <c r="F61">
        <v>72</v>
      </c>
      <c r="G61" t="s">
        <v>18</v>
      </c>
      <c r="H61" s="6">
        <v>45434</v>
      </c>
      <c r="I61">
        <v>1</v>
      </c>
    </row>
    <row r="62" spans="1:9" x14ac:dyDescent="0.3">
      <c r="A62" t="s">
        <v>145</v>
      </c>
      <c r="B62" t="s">
        <v>146</v>
      </c>
      <c r="C62" t="s">
        <v>35</v>
      </c>
      <c r="D62" t="s">
        <v>17</v>
      </c>
      <c r="E62" s="5">
        <v>45657</v>
      </c>
      <c r="F62">
        <v>43</v>
      </c>
      <c r="G62" t="s">
        <v>13</v>
      </c>
      <c r="H62" s="6"/>
    </row>
    <row r="63" spans="1:9" x14ac:dyDescent="0.3">
      <c r="A63" t="s">
        <v>147</v>
      </c>
      <c r="B63" t="s">
        <v>148</v>
      </c>
      <c r="C63" t="s">
        <v>11</v>
      </c>
      <c r="D63" t="s">
        <v>23</v>
      </c>
      <c r="E63" s="5">
        <v>45487</v>
      </c>
      <c r="F63">
        <v>5</v>
      </c>
      <c r="G63" t="s">
        <v>18</v>
      </c>
      <c r="H63" s="6">
        <v>45487</v>
      </c>
      <c r="I63">
        <v>5</v>
      </c>
    </row>
    <row r="64" spans="1:9" x14ac:dyDescent="0.3">
      <c r="A64" t="s">
        <v>149</v>
      </c>
      <c r="B64" t="s">
        <v>150</v>
      </c>
      <c r="C64" t="s">
        <v>28</v>
      </c>
      <c r="D64" t="s">
        <v>31</v>
      </c>
      <c r="E64" s="5">
        <v>45651</v>
      </c>
      <c r="F64">
        <v>87</v>
      </c>
      <c r="G64" t="s">
        <v>18</v>
      </c>
      <c r="H64" s="6">
        <v>45654</v>
      </c>
      <c r="I64">
        <v>5</v>
      </c>
    </row>
    <row r="65" spans="1:9" x14ac:dyDescent="0.3">
      <c r="A65" t="s">
        <v>151</v>
      </c>
      <c r="B65" t="s">
        <v>152</v>
      </c>
      <c r="C65" t="s">
        <v>28</v>
      </c>
      <c r="D65" t="s">
        <v>23</v>
      </c>
      <c r="E65" s="5">
        <v>45398</v>
      </c>
      <c r="F65">
        <v>35</v>
      </c>
      <c r="G65" t="s">
        <v>18</v>
      </c>
      <c r="H65" s="6">
        <v>45399</v>
      </c>
      <c r="I65">
        <v>5</v>
      </c>
    </row>
    <row r="66" spans="1:9" x14ac:dyDescent="0.3">
      <c r="A66" t="s">
        <v>153</v>
      </c>
      <c r="B66" t="s">
        <v>154</v>
      </c>
      <c r="C66" t="s">
        <v>52</v>
      </c>
      <c r="D66" t="s">
        <v>31</v>
      </c>
      <c r="E66" s="5">
        <v>45464</v>
      </c>
      <c r="F66">
        <v>12</v>
      </c>
      <c r="G66" t="s">
        <v>13</v>
      </c>
      <c r="H66" s="6"/>
    </row>
    <row r="67" spans="1:9" x14ac:dyDescent="0.3">
      <c r="A67" t="s">
        <v>155</v>
      </c>
      <c r="B67" t="s">
        <v>156</v>
      </c>
      <c r="C67" t="s">
        <v>41</v>
      </c>
      <c r="D67" t="s">
        <v>12</v>
      </c>
      <c r="E67" s="5">
        <v>45400</v>
      </c>
      <c r="F67">
        <v>11</v>
      </c>
      <c r="G67" t="s">
        <v>18</v>
      </c>
      <c r="H67" s="6">
        <v>45400</v>
      </c>
      <c r="I67">
        <v>4</v>
      </c>
    </row>
    <row r="68" spans="1:9" x14ac:dyDescent="0.3">
      <c r="A68" t="s">
        <v>157</v>
      </c>
      <c r="B68" t="s">
        <v>158</v>
      </c>
      <c r="C68" t="s">
        <v>28</v>
      </c>
      <c r="D68" t="s">
        <v>69</v>
      </c>
      <c r="E68" s="5">
        <v>45656</v>
      </c>
      <c r="F68">
        <v>30</v>
      </c>
      <c r="G68" t="s">
        <v>18</v>
      </c>
      <c r="H68" s="6">
        <v>45657</v>
      </c>
      <c r="I68">
        <v>2</v>
      </c>
    </row>
    <row r="69" spans="1:9" x14ac:dyDescent="0.3">
      <c r="A69" t="s">
        <v>159</v>
      </c>
      <c r="B69" t="s">
        <v>160</v>
      </c>
      <c r="C69" t="s">
        <v>35</v>
      </c>
      <c r="D69" t="s">
        <v>23</v>
      </c>
      <c r="E69" s="5">
        <v>45613</v>
      </c>
      <c r="F69">
        <v>53</v>
      </c>
      <c r="G69" t="s">
        <v>32</v>
      </c>
      <c r="H69" s="6"/>
    </row>
    <row r="70" spans="1:9" x14ac:dyDescent="0.3">
      <c r="A70" t="s">
        <v>161</v>
      </c>
      <c r="B70" t="s">
        <v>162</v>
      </c>
      <c r="C70" t="s">
        <v>16</v>
      </c>
      <c r="D70" t="s">
        <v>23</v>
      </c>
      <c r="E70" s="5">
        <v>45452</v>
      </c>
      <c r="F70">
        <v>28</v>
      </c>
      <c r="G70" t="s">
        <v>18</v>
      </c>
      <c r="H70" s="6">
        <v>45453</v>
      </c>
      <c r="I70">
        <v>2</v>
      </c>
    </row>
    <row r="71" spans="1:9" x14ac:dyDescent="0.3">
      <c r="A71" t="s">
        <v>163</v>
      </c>
      <c r="B71" t="s">
        <v>164</v>
      </c>
      <c r="C71" t="s">
        <v>38</v>
      </c>
      <c r="D71" t="s">
        <v>23</v>
      </c>
      <c r="E71" s="5">
        <v>45436</v>
      </c>
      <c r="F71">
        <v>38</v>
      </c>
      <c r="G71" t="s">
        <v>18</v>
      </c>
      <c r="H71" s="6">
        <v>45437</v>
      </c>
      <c r="I71">
        <v>2</v>
      </c>
    </row>
    <row r="72" spans="1:9" x14ac:dyDescent="0.3">
      <c r="A72" t="s">
        <v>165</v>
      </c>
      <c r="B72" t="s">
        <v>166</v>
      </c>
      <c r="C72" t="s">
        <v>41</v>
      </c>
      <c r="D72" t="s">
        <v>31</v>
      </c>
      <c r="E72" s="5">
        <v>45315</v>
      </c>
      <c r="F72">
        <v>10</v>
      </c>
      <c r="G72" t="s">
        <v>13</v>
      </c>
      <c r="H72" s="6"/>
    </row>
    <row r="73" spans="1:9" x14ac:dyDescent="0.3">
      <c r="A73" t="s">
        <v>167</v>
      </c>
      <c r="B73" t="s">
        <v>168</v>
      </c>
      <c r="C73" t="s">
        <v>16</v>
      </c>
      <c r="D73" t="s">
        <v>69</v>
      </c>
      <c r="E73" s="5">
        <v>45337</v>
      </c>
      <c r="F73">
        <v>28</v>
      </c>
      <c r="G73" t="s">
        <v>13</v>
      </c>
      <c r="H73" s="6"/>
    </row>
    <row r="74" spans="1:9" x14ac:dyDescent="0.3">
      <c r="A74" t="s">
        <v>169</v>
      </c>
      <c r="B74" t="s">
        <v>170</v>
      </c>
      <c r="C74" t="s">
        <v>41</v>
      </c>
      <c r="D74" t="s">
        <v>17</v>
      </c>
      <c r="E74" s="5">
        <v>45535</v>
      </c>
      <c r="F74">
        <v>8</v>
      </c>
      <c r="G74" t="s">
        <v>18</v>
      </c>
      <c r="H74" s="6">
        <v>45535</v>
      </c>
      <c r="I74">
        <v>4</v>
      </c>
    </row>
    <row r="75" spans="1:9" x14ac:dyDescent="0.3">
      <c r="A75" t="s">
        <v>171</v>
      </c>
      <c r="B75" t="s">
        <v>172</v>
      </c>
      <c r="C75" t="s">
        <v>38</v>
      </c>
      <c r="D75" t="s">
        <v>31</v>
      </c>
      <c r="E75" s="5">
        <v>45328</v>
      </c>
      <c r="F75">
        <v>35</v>
      </c>
      <c r="G75" t="s">
        <v>18</v>
      </c>
      <c r="H75" s="6">
        <v>45329</v>
      </c>
      <c r="I75">
        <v>5</v>
      </c>
    </row>
    <row r="76" spans="1:9" x14ac:dyDescent="0.3">
      <c r="A76" t="s">
        <v>173</v>
      </c>
      <c r="B76" t="s">
        <v>174</v>
      </c>
      <c r="C76" t="s">
        <v>78</v>
      </c>
      <c r="D76" t="s">
        <v>31</v>
      </c>
      <c r="E76" s="5">
        <v>45464</v>
      </c>
      <c r="F76">
        <v>10</v>
      </c>
      <c r="G76" t="s">
        <v>18</v>
      </c>
      <c r="H76" s="6">
        <v>45464</v>
      </c>
      <c r="I76">
        <v>4</v>
      </c>
    </row>
    <row r="77" spans="1:9" x14ac:dyDescent="0.3">
      <c r="A77" t="s">
        <v>175</v>
      </c>
      <c r="B77" t="s">
        <v>176</v>
      </c>
      <c r="C77" t="s">
        <v>11</v>
      </c>
      <c r="D77" t="s">
        <v>31</v>
      </c>
      <c r="E77" s="5">
        <v>45373</v>
      </c>
      <c r="F77">
        <v>46</v>
      </c>
      <c r="G77" t="s">
        <v>13</v>
      </c>
      <c r="H77" s="6"/>
    </row>
    <row r="78" spans="1:9" x14ac:dyDescent="0.3">
      <c r="A78" t="s">
        <v>177</v>
      </c>
      <c r="B78" t="s">
        <v>178</v>
      </c>
      <c r="C78" t="s">
        <v>16</v>
      </c>
      <c r="D78" t="s">
        <v>69</v>
      </c>
      <c r="E78" s="5">
        <v>45426</v>
      </c>
      <c r="F78">
        <v>9</v>
      </c>
      <c r="G78" t="s">
        <v>18</v>
      </c>
      <c r="H78" s="6">
        <v>45426</v>
      </c>
      <c r="I78">
        <v>4</v>
      </c>
    </row>
    <row r="79" spans="1:9" x14ac:dyDescent="0.3">
      <c r="A79" t="s">
        <v>179</v>
      </c>
      <c r="B79" t="s">
        <v>180</v>
      </c>
      <c r="C79" t="s">
        <v>16</v>
      </c>
      <c r="D79" t="s">
        <v>23</v>
      </c>
      <c r="E79" s="5">
        <v>45308</v>
      </c>
      <c r="F79">
        <v>6</v>
      </c>
      <c r="G79" t="s">
        <v>18</v>
      </c>
      <c r="H79" s="6">
        <v>45308</v>
      </c>
      <c r="I79">
        <v>5</v>
      </c>
    </row>
    <row r="80" spans="1:9" x14ac:dyDescent="0.3">
      <c r="A80" t="s">
        <v>181</v>
      </c>
      <c r="B80" t="s">
        <v>182</v>
      </c>
      <c r="C80" t="s">
        <v>41</v>
      </c>
      <c r="D80" t="s">
        <v>23</v>
      </c>
      <c r="E80" s="5">
        <v>45403</v>
      </c>
      <c r="F80">
        <v>8</v>
      </c>
      <c r="G80" t="s">
        <v>18</v>
      </c>
      <c r="H80" s="6">
        <v>45403</v>
      </c>
      <c r="I80">
        <v>4</v>
      </c>
    </row>
    <row r="81" spans="1:9" x14ac:dyDescent="0.3">
      <c r="A81" t="s">
        <v>183</v>
      </c>
      <c r="B81" t="s">
        <v>184</v>
      </c>
      <c r="C81" t="s">
        <v>28</v>
      </c>
      <c r="D81" t="s">
        <v>31</v>
      </c>
      <c r="E81" s="5">
        <v>45610</v>
      </c>
      <c r="F81">
        <v>64</v>
      </c>
      <c r="G81" t="s">
        <v>18</v>
      </c>
      <c r="H81" s="6">
        <v>45612</v>
      </c>
      <c r="I81">
        <v>1</v>
      </c>
    </row>
    <row r="82" spans="1:9" x14ac:dyDescent="0.3">
      <c r="A82" t="s">
        <v>185</v>
      </c>
      <c r="B82" t="s">
        <v>186</v>
      </c>
      <c r="C82" t="s">
        <v>16</v>
      </c>
      <c r="D82" t="s">
        <v>69</v>
      </c>
      <c r="E82" s="5">
        <v>45632</v>
      </c>
      <c r="F82">
        <v>10</v>
      </c>
      <c r="G82" t="s">
        <v>13</v>
      </c>
      <c r="H82" s="6"/>
    </row>
    <row r="83" spans="1:9" x14ac:dyDescent="0.3">
      <c r="A83" t="s">
        <v>187</v>
      </c>
      <c r="B83" t="s">
        <v>188</v>
      </c>
      <c r="C83" t="s">
        <v>38</v>
      </c>
      <c r="D83" t="s">
        <v>69</v>
      </c>
      <c r="E83" s="5">
        <v>45574</v>
      </c>
      <c r="F83">
        <v>58</v>
      </c>
      <c r="G83" t="s">
        <v>13</v>
      </c>
      <c r="H83" s="6"/>
    </row>
    <row r="84" spans="1:9" x14ac:dyDescent="0.3">
      <c r="A84" t="s">
        <v>189</v>
      </c>
      <c r="B84" t="s">
        <v>190</v>
      </c>
      <c r="C84" t="s">
        <v>35</v>
      </c>
      <c r="D84" t="s">
        <v>17</v>
      </c>
      <c r="E84" s="5">
        <v>45620</v>
      </c>
      <c r="F84">
        <v>41</v>
      </c>
      <c r="G84" t="s">
        <v>18</v>
      </c>
      <c r="H84" s="6">
        <v>45621</v>
      </c>
      <c r="I84">
        <v>5</v>
      </c>
    </row>
    <row r="85" spans="1:9" x14ac:dyDescent="0.3">
      <c r="A85" t="s">
        <v>191</v>
      </c>
      <c r="B85" t="s">
        <v>192</v>
      </c>
      <c r="C85" t="s">
        <v>52</v>
      </c>
      <c r="D85" t="s">
        <v>69</v>
      </c>
      <c r="E85" s="5">
        <v>45639</v>
      </c>
      <c r="F85">
        <v>20</v>
      </c>
      <c r="G85" t="s">
        <v>18</v>
      </c>
      <c r="H85" s="6">
        <v>45639</v>
      </c>
      <c r="I85">
        <v>3</v>
      </c>
    </row>
    <row r="86" spans="1:9" x14ac:dyDescent="0.3">
      <c r="A86" t="s">
        <v>193</v>
      </c>
      <c r="B86" t="s">
        <v>194</v>
      </c>
      <c r="C86" t="s">
        <v>11</v>
      </c>
      <c r="D86" t="s">
        <v>31</v>
      </c>
      <c r="E86" s="5">
        <v>45499</v>
      </c>
      <c r="F86">
        <v>28</v>
      </c>
      <c r="G86" t="s">
        <v>32</v>
      </c>
      <c r="H86" s="6"/>
    </row>
    <row r="87" spans="1:9" x14ac:dyDescent="0.3">
      <c r="A87" t="s">
        <v>195</v>
      </c>
      <c r="B87" t="s">
        <v>196</v>
      </c>
      <c r="C87" t="s">
        <v>11</v>
      </c>
      <c r="D87" t="s">
        <v>17</v>
      </c>
      <c r="E87" s="5">
        <v>45581</v>
      </c>
      <c r="F87">
        <v>45</v>
      </c>
      <c r="G87" t="s">
        <v>18</v>
      </c>
      <c r="H87" s="6">
        <v>45582</v>
      </c>
      <c r="I87">
        <v>2</v>
      </c>
    </row>
    <row r="88" spans="1:9" x14ac:dyDescent="0.3">
      <c r="A88" t="s">
        <v>197</v>
      </c>
      <c r="B88" t="s">
        <v>198</v>
      </c>
      <c r="C88" t="s">
        <v>41</v>
      </c>
      <c r="D88" t="s">
        <v>69</v>
      </c>
      <c r="E88" s="5">
        <v>45374</v>
      </c>
      <c r="F88">
        <v>7</v>
      </c>
      <c r="G88" t="s">
        <v>32</v>
      </c>
      <c r="H88" s="6"/>
    </row>
    <row r="89" spans="1:9" x14ac:dyDescent="0.3">
      <c r="A89" t="s">
        <v>199</v>
      </c>
      <c r="B89" t="s">
        <v>200</v>
      </c>
      <c r="C89" t="s">
        <v>38</v>
      </c>
      <c r="D89" t="s">
        <v>69</v>
      </c>
      <c r="E89" s="5">
        <v>45376</v>
      </c>
      <c r="F89">
        <v>41</v>
      </c>
      <c r="G89" t="s">
        <v>13</v>
      </c>
      <c r="H89" s="6"/>
    </row>
    <row r="90" spans="1:9" x14ac:dyDescent="0.3">
      <c r="A90" t="s">
        <v>201</v>
      </c>
      <c r="B90" t="s">
        <v>202</v>
      </c>
      <c r="C90" t="s">
        <v>41</v>
      </c>
      <c r="D90" t="s">
        <v>12</v>
      </c>
      <c r="E90" s="5">
        <v>45324</v>
      </c>
      <c r="F90">
        <v>8</v>
      </c>
      <c r="G90" t="s">
        <v>18</v>
      </c>
      <c r="H90" s="6">
        <v>45324</v>
      </c>
      <c r="I90">
        <v>4</v>
      </c>
    </row>
    <row r="91" spans="1:9" x14ac:dyDescent="0.3">
      <c r="A91" t="s">
        <v>203</v>
      </c>
      <c r="B91" t="s">
        <v>204</v>
      </c>
      <c r="C91" t="s">
        <v>41</v>
      </c>
      <c r="D91" t="s">
        <v>31</v>
      </c>
      <c r="E91" s="5">
        <v>45337</v>
      </c>
      <c r="F91">
        <v>3</v>
      </c>
      <c r="G91" t="s">
        <v>32</v>
      </c>
      <c r="H91" s="6"/>
    </row>
    <row r="92" spans="1:9" x14ac:dyDescent="0.3">
      <c r="A92" t="s">
        <v>205</v>
      </c>
      <c r="B92" t="s">
        <v>206</v>
      </c>
      <c r="C92" t="s">
        <v>41</v>
      </c>
      <c r="D92" t="s">
        <v>17</v>
      </c>
      <c r="E92" s="5">
        <v>45512</v>
      </c>
      <c r="F92">
        <v>10</v>
      </c>
      <c r="G92" t="s">
        <v>32</v>
      </c>
      <c r="H92" s="6"/>
    </row>
    <row r="93" spans="1:9" x14ac:dyDescent="0.3">
      <c r="A93" t="s">
        <v>207</v>
      </c>
      <c r="B93" t="s">
        <v>208</v>
      </c>
      <c r="C93" t="s">
        <v>41</v>
      </c>
      <c r="D93" t="s">
        <v>69</v>
      </c>
      <c r="E93" s="5">
        <v>45467</v>
      </c>
      <c r="F93">
        <v>6</v>
      </c>
      <c r="G93" t="s">
        <v>18</v>
      </c>
      <c r="H93" s="6">
        <v>45467</v>
      </c>
      <c r="I93">
        <v>5</v>
      </c>
    </row>
    <row r="94" spans="1:9" x14ac:dyDescent="0.3">
      <c r="A94" t="s">
        <v>209</v>
      </c>
      <c r="B94" t="s">
        <v>210</v>
      </c>
      <c r="C94" t="s">
        <v>78</v>
      </c>
      <c r="D94" t="s">
        <v>31</v>
      </c>
      <c r="E94" s="5">
        <v>45637</v>
      </c>
      <c r="F94">
        <v>11</v>
      </c>
      <c r="G94" t="s">
        <v>18</v>
      </c>
      <c r="H94" s="6">
        <v>45637</v>
      </c>
      <c r="I94">
        <v>5</v>
      </c>
    </row>
    <row r="95" spans="1:9" x14ac:dyDescent="0.3">
      <c r="A95" t="s">
        <v>211</v>
      </c>
      <c r="B95" t="s">
        <v>212</v>
      </c>
      <c r="C95" t="s">
        <v>52</v>
      </c>
      <c r="D95" t="s">
        <v>69</v>
      </c>
      <c r="E95" s="5">
        <v>45414</v>
      </c>
      <c r="F95">
        <v>23</v>
      </c>
      <c r="G95" t="s">
        <v>18</v>
      </c>
      <c r="H95" s="6">
        <v>45414</v>
      </c>
      <c r="I95">
        <v>3</v>
      </c>
    </row>
    <row r="96" spans="1:9" x14ac:dyDescent="0.3">
      <c r="A96" t="s">
        <v>213</v>
      </c>
      <c r="B96" t="s">
        <v>214</v>
      </c>
      <c r="C96" t="s">
        <v>41</v>
      </c>
      <c r="D96" t="s">
        <v>23</v>
      </c>
      <c r="E96" s="5">
        <v>45368</v>
      </c>
      <c r="F96">
        <v>10</v>
      </c>
      <c r="G96" t="s">
        <v>18</v>
      </c>
      <c r="H96" s="6">
        <v>45368</v>
      </c>
      <c r="I96">
        <v>4</v>
      </c>
    </row>
    <row r="97" spans="1:9" x14ac:dyDescent="0.3">
      <c r="A97" t="s">
        <v>215</v>
      </c>
      <c r="B97" t="s">
        <v>216</v>
      </c>
      <c r="C97" t="s">
        <v>35</v>
      </c>
      <c r="D97" t="s">
        <v>12</v>
      </c>
      <c r="E97" s="5">
        <v>45332</v>
      </c>
      <c r="F97">
        <v>29</v>
      </c>
      <c r="G97" t="s">
        <v>13</v>
      </c>
      <c r="H97" s="6"/>
    </row>
    <row r="98" spans="1:9" x14ac:dyDescent="0.3">
      <c r="A98" t="s">
        <v>217</v>
      </c>
      <c r="B98" t="s">
        <v>218</v>
      </c>
      <c r="C98" t="s">
        <v>35</v>
      </c>
      <c r="D98" t="s">
        <v>17</v>
      </c>
      <c r="E98" s="5">
        <v>45470</v>
      </c>
      <c r="F98">
        <v>28</v>
      </c>
      <c r="G98" t="s">
        <v>18</v>
      </c>
      <c r="H98" s="6">
        <v>45471</v>
      </c>
      <c r="I98">
        <v>2</v>
      </c>
    </row>
    <row r="99" spans="1:9" x14ac:dyDescent="0.3">
      <c r="A99" t="s">
        <v>219</v>
      </c>
      <c r="B99" t="s">
        <v>220</v>
      </c>
      <c r="C99" t="s">
        <v>35</v>
      </c>
      <c r="D99" t="s">
        <v>17</v>
      </c>
      <c r="E99" s="5">
        <v>45335</v>
      </c>
      <c r="F99">
        <v>13</v>
      </c>
      <c r="G99" t="s">
        <v>18</v>
      </c>
      <c r="H99" s="6">
        <v>45335</v>
      </c>
      <c r="I99">
        <v>5</v>
      </c>
    </row>
    <row r="100" spans="1:9" x14ac:dyDescent="0.3">
      <c r="A100" t="s">
        <v>221</v>
      </c>
      <c r="B100" t="s">
        <v>222</v>
      </c>
      <c r="C100" t="s">
        <v>52</v>
      </c>
      <c r="D100" t="s">
        <v>17</v>
      </c>
      <c r="E100" s="5">
        <v>45563</v>
      </c>
      <c r="F100">
        <v>21</v>
      </c>
      <c r="G100" t="s">
        <v>13</v>
      </c>
      <c r="H100" s="6"/>
    </row>
    <row r="101" spans="1:9" x14ac:dyDescent="0.3">
      <c r="A101" t="s">
        <v>223</v>
      </c>
      <c r="B101" t="s">
        <v>224</v>
      </c>
      <c r="C101" t="s">
        <v>28</v>
      </c>
      <c r="D101" t="s">
        <v>31</v>
      </c>
      <c r="E101" s="5">
        <v>45602</v>
      </c>
      <c r="F101">
        <v>42</v>
      </c>
      <c r="G101" t="s">
        <v>18</v>
      </c>
      <c r="H101" s="6">
        <v>45603</v>
      </c>
      <c r="I101">
        <v>2</v>
      </c>
    </row>
    <row r="102" spans="1:9" x14ac:dyDescent="0.3">
      <c r="A102" t="s">
        <v>225</v>
      </c>
      <c r="B102" t="s">
        <v>226</v>
      </c>
      <c r="C102" t="s">
        <v>52</v>
      </c>
      <c r="D102" t="s">
        <v>12</v>
      </c>
      <c r="E102" s="5">
        <v>45562</v>
      </c>
      <c r="F102">
        <v>9</v>
      </c>
      <c r="G102" t="s">
        <v>32</v>
      </c>
      <c r="H102" s="6"/>
    </row>
    <row r="103" spans="1:9" x14ac:dyDescent="0.3">
      <c r="A103" t="s">
        <v>227</v>
      </c>
      <c r="B103" t="s">
        <v>228</v>
      </c>
      <c r="C103" t="s">
        <v>11</v>
      </c>
      <c r="D103" t="s">
        <v>31</v>
      </c>
      <c r="E103" s="5">
        <v>45569</v>
      </c>
      <c r="F103">
        <v>12</v>
      </c>
      <c r="G103" t="s">
        <v>18</v>
      </c>
      <c r="H103" s="6">
        <v>45569</v>
      </c>
      <c r="I103">
        <v>4</v>
      </c>
    </row>
    <row r="104" spans="1:9" x14ac:dyDescent="0.3">
      <c r="A104" t="s">
        <v>229</v>
      </c>
      <c r="B104" t="s">
        <v>230</v>
      </c>
      <c r="C104" t="s">
        <v>78</v>
      </c>
      <c r="D104" t="s">
        <v>69</v>
      </c>
      <c r="E104" s="5">
        <v>45393</v>
      </c>
      <c r="F104">
        <v>3</v>
      </c>
      <c r="G104" t="s">
        <v>18</v>
      </c>
      <c r="H104" s="6">
        <v>45393</v>
      </c>
      <c r="I104">
        <v>5</v>
      </c>
    </row>
    <row r="105" spans="1:9" x14ac:dyDescent="0.3">
      <c r="A105" t="s">
        <v>231</v>
      </c>
      <c r="B105" t="s">
        <v>232</v>
      </c>
      <c r="C105" t="s">
        <v>38</v>
      </c>
      <c r="D105" t="s">
        <v>69</v>
      </c>
      <c r="E105" s="5">
        <v>45541</v>
      </c>
      <c r="F105">
        <v>58</v>
      </c>
      <c r="G105" t="s">
        <v>18</v>
      </c>
      <c r="H105" s="6">
        <v>45543</v>
      </c>
      <c r="I105">
        <v>1</v>
      </c>
    </row>
    <row r="106" spans="1:9" x14ac:dyDescent="0.3">
      <c r="A106" t="s">
        <v>233</v>
      </c>
      <c r="B106" t="s">
        <v>234</v>
      </c>
      <c r="C106" t="s">
        <v>35</v>
      </c>
      <c r="D106" t="s">
        <v>12</v>
      </c>
      <c r="E106" s="5">
        <v>45322</v>
      </c>
      <c r="F106">
        <v>6</v>
      </c>
      <c r="G106" t="s">
        <v>18</v>
      </c>
      <c r="H106" s="6">
        <v>45322</v>
      </c>
      <c r="I106">
        <v>5</v>
      </c>
    </row>
    <row r="107" spans="1:9" x14ac:dyDescent="0.3">
      <c r="A107" t="s">
        <v>235</v>
      </c>
      <c r="B107" t="s">
        <v>236</v>
      </c>
      <c r="C107" t="s">
        <v>78</v>
      </c>
      <c r="D107" t="s">
        <v>12</v>
      </c>
      <c r="E107" s="5">
        <v>45312</v>
      </c>
      <c r="F107">
        <v>14</v>
      </c>
      <c r="G107" t="s">
        <v>13</v>
      </c>
      <c r="H107" s="6"/>
    </row>
    <row r="108" spans="1:9" x14ac:dyDescent="0.3">
      <c r="A108" t="s">
        <v>237</v>
      </c>
      <c r="B108" t="s">
        <v>238</v>
      </c>
      <c r="C108" t="s">
        <v>52</v>
      </c>
      <c r="D108" t="s">
        <v>17</v>
      </c>
      <c r="E108" s="5">
        <v>45598</v>
      </c>
      <c r="F108">
        <v>18</v>
      </c>
      <c r="G108" t="s">
        <v>18</v>
      </c>
      <c r="H108" s="6">
        <v>45598</v>
      </c>
      <c r="I108">
        <v>3</v>
      </c>
    </row>
    <row r="109" spans="1:9" x14ac:dyDescent="0.3">
      <c r="A109" t="s">
        <v>239</v>
      </c>
      <c r="B109" t="s">
        <v>240</v>
      </c>
      <c r="C109" t="s">
        <v>28</v>
      </c>
      <c r="D109" t="s">
        <v>69</v>
      </c>
      <c r="E109" s="5">
        <v>45621</v>
      </c>
      <c r="F109">
        <v>52</v>
      </c>
      <c r="G109" t="s">
        <v>18</v>
      </c>
      <c r="H109" s="6">
        <v>45623</v>
      </c>
      <c r="I109">
        <v>1</v>
      </c>
    </row>
    <row r="110" spans="1:9" x14ac:dyDescent="0.3">
      <c r="A110" t="s">
        <v>241</v>
      </c>
      <c r="B110" t="s">
        <v>242</v>
      </c>
      <c r="C110" t="s">
        <v>38</v>
      </c>
      <c r="D110" t="s">
        <v>17</v>
      </c>
      <c r="E110" s="5">
        <v>45416</v>
      </c>
      <c r="F110">
        <v>8</v>
      </c>
      <c r="G110" t="s">
        <v>18</v>
      </c>
      <c r="H110" s="6">
        <v>45416</v>
      </c>
      <c r="I110">
        <v>4</v>
      </c>
    </row>
    <row r="111" spans="1:9" x14ac:dyDescent="0.3">
      <c r="A111" t="s">
        <v>243</v>
      </c>
      <c r="B111" t="s">
        <v>244</v>
      </c>
      <c r="C111" t="s">
        <v>52</v>
      </c>
      <c r="D111" t="s">
        <v>12</v>
      </c>
      <c r="E111" s="5">
        <v>45581</v>
      </c>
      <c r="F111">
        <v>18</v>
      </c>
      <c r="G111" t="s">
        <v>32</v>
      </c>
      <c r="H111" s="6"/>
    </row>
    <row r="112" spans="1:9" x14ac:dyDescent="0.3">
      <c r="A112" t="s">
        <v>245</v>
      </c>
      <c r="B112" t="s">
        <v>246</v>
      </c>
      <c r="C112" t="s">
        <v>38</v>
      </c>
      <c r="D112" t="s">
        <v>69</v>
      </c>
      <c r="E112" s="5">
        <v>45589</v>
      </c>
      <c r="F112">
        <v>23</v>
      </c>
      <c r="G112" t="s">
        <v>18</v>
      </c>
      <c r="H112" s="6">
        <v>45589</v>
      </c>
      <c r="I112">
        <v>3</v>
      </c>
    </row>
    <row r="113" spans="1:9" x14ac:dyDescent="0.3">
      <c r="A113" t="s">
        <v>247</v>
      </c>
      <c r="B113" t="s">
        <v>248</v>
      </c>
      <c r="C113" t="s">
        <v>28</v>
      </c>
      <c r="D113" t="s">
        <v>69</v>
      </c>
      <c r="E113" s="5">
        <v>45598</v>
      </c>
      <c r="F113">
        <v>77</v>
      </c>
      <c r="G113" t="s">
        <v>18</v>
      </c>
      <c r="H113" s="6">
        <v>45601</v>
      </c>
      <c r="I113">
        <v>1</v>
      </c>
    </row>
    <row r="114" spans="1:9" x14ac:dyDescent="0.3">
      <c r="A114" t="s">
        <v>249</v>
      </c>
      <c r="B114" t="s">
        <v>250</v>
      </c>
      <c r="C114" t="s">
        <v>38</v>
      </c>
      <c r="D114" t="s">
        <v>17</v>
      </c>
      <c r="E114" s="5">
        <v>45517</v>
      </c>
      <c r="F114">
        <v>60</v>
      </c>
      <c r="G114" t="s">
        <v>18</v>
      </c>
      <c r="H114" s="6">
        <v>45519</v>
      </c>
      <c r="I114">
        <v>5</v>
      </c>
    </row>
    <row r="115" spans="1:9" x14ac:dyDescent="0.3">
      <c r="A115" t="s">
        <v>251</v>
      </c>
      <c r="B115" t="s">
        <v>252</v>
      </c>
      <c r="C115" t="s">
        <v>78</v>
      </c>
      <c r="D115" t="s">
        <v>69</v>
      </c>
      <c r="E115" s="5">
        <v>45442</v>
      </c>
      <c r="F115">
        <v>24</v>
      </c>
      <c r="G115" t="s">
        <v>18</v>
      </c>
      <c r="H115" s="6">
        <v>45443</v>
      </c>
      <c r="I115">
        <v>3</v>
      </c>
    </row>
    <row r="116" spans="1:9" x14ac:dyDescent="0.3">
      <c r="A116" t="s">
        <v>253</v>
      </c>
      <c r="B116" t="s">
        <v>254</v>
      </c>
      <c r="C116" t="s">
        <v>11</v>
      </c>
      <c r="D116" t="s">
        <v>12</v>
      </c>
      <c r="E116" s="5">
        <v>45560</v>
      </c>
      <c r="F116">
        <v>33</v>
      </c>
      <c r="G116" t="s">
        <v>32</v>
      </c>
      <c r="H116" s="6"/>
    </row>
    <row r="117" spans="1:9" x14ac:dyDescent="0.3">
      <c r="A117" t="s">
        <v>255</v>
      </c>
      <c r="B117" t="s">
        <v>256</v>
      </c>
      <c r="C117" t="s">
        <v>38</v>
      </c>
      <c r="D117" t="s">
        <v>12</v>
      </c>
      <c r="E117" s="5">
        <v>45477</v>
      </c>
      <c r="F117">
        <v>64</v>
      </c>
      <c r="G117" t="s">
        <v>18</v>
      </c>
      <c r="H117" s="6">
        <v>45479</v>
      </c>
      <c r="I117">
        <v>1</v>
      </c>
    </row>
    <row r="118" spans="1:9" x14ac:dyDescent="0.3">
      <c r="A118" t="s">
        <v>257</v>
      </c>
      <c r="B118" t="s">
        <v>258</v>
      </c>
      <c r="C118" t="s">
        <v>52</v>
      </c>
      <c r="D118" t="s">
        <v>23</v>
      </c>
      <c r="E118" s="5">
        <v>45388</v>
      </c>
      <c r="F118">
        <v>10</v>
      </c>
      <c r="G118" t="s">
        <v>18</v>
      </c>
      <c r="H118" s="6">
        <v>45388</v>
      </c>
      <c r="I118">
        <v>4</v>
      </c>
    </row>
    <row r="119" spans="1:9" x14ac:dyDescent="0.3">
      <c r="A119" t="s">
        <v>259</v>
      </c>
      <c r="B119" t="s">
        <v>260</v>
      </c>
      <c r="C119" t="s">
        <v>52</v>
      </c>
      <c r="D119" t="s">
        <v>31</v>
      </c>
      <c r="E119" s="5">
        <v>45563</v>
      </c>
      <c r="F119">
        <v>9</v>
      </c>
      <c r="G119" t="s">
        <v>13</v>
      </c>
      <c r="H119" s="6"/>
    </row>
    <row r="120" spans="1:9" x14ac:dyDescent="0.3">
      <c r="A120" t="s">
        <v>261</v>
      </c>
      <c r="B120" t="s">
        <v>262</v>
      </c>
      <c r="C120" t="s">
        <v>28</v>
      </c>
      <c r="D120" t="s">
        <v>69</v>
      </c>
      <c r="E120" s="5">
        <v>45474</v>
      </c>
      <c r="F120">
        <v>49</v>
      </c>
      <c r="G120" t="s">
        <v>18</v>
      </c>
      <c r="H120" s="6">
        <v>45476</v>
      </c>
      <c r="I120">
        <v>1</v>
      </c>
    </row>
    <row r="121" spans="1:9" x14ac:dyDescent="0.3">
      <c r="A121" t="s">
        <v>263</v>
      </c>
      <c r="B121" t="s">
        <v>264</v>
      </c>
      <c r="C121" t="s">
        <v>11</v>
      </c>
      <c r="D121" t="s">
        <v>17</v>
      </c>
      <c r="E121" s="5">
        <v>45341</v>
      </c>
      <c r="F121">
        <v>39</v>
      </c>
      <c r="G121" t="s">
        <v>32</v>
      </c>
      <c r="H121" s="6"/>
    </row>
    <row r="122" spans="1:9" x14ac:dyDescent="0.3">
      <c r="A122" t="s">
        <v>265</v>
      </c>
      <c r="B122" t="s">
        <v>266</v>
      </c>
      <c r="C122" t="s">
        <v>52</v>
      </c>
      <c r="D122" t="s">
        <v>31</v>
      </c>
      <c r="E122" s="5">
        <v>45525</v>
      </c>
      <c r="F122">
        <v>18</v>
      </c>
      <c r="G122" t="s">
        <v>18</v>
      </c>
      <c r="H122" s="6">
        <v>45525</v>
      </c>
      <c r="I122">
        <v>3</v>
      </c>
    </row>
    <row r="123" spans="1:9" x14ac:dyDescent="0.3">
      <c r="A123" t="s">
        <v>267</v>
      </c>
      <c r="B123" t="s">
        <v>268</v>
      </c>
      <c r="C123" t="s">
        <v>38</v>
      </c>
      <c r="D123" t="s">
        <v>69</v>
      </c>
      <c r="E123" s="5">
        <v>45422</v>
      </c>
      <c r="F123">
        <v>37</v>
      </c>
      <c r="G123" t="s">
        <v>32</v>
      </c>
      <c r="H123" s="6"/>
    </row>
    <row r="124" spans="1:9" x14ac:dyDescent="0.3">
      <c r="A124" t="s">
        <v>269</v>
      </c>
      <c r="B124" t="s">
        <v>270</v>
      </c>
      <c r="C124" t="s">
        <v>38</v>
      </c>
      <c r="D124" t="s">
        <v>12</v>
      </c>
      <c r="E124" s="5">
        <v>45591</v>
      </c>
      <c r="F124">
        <v>36</v>
      </c>
      <c r="G124" t="s">
        <v>18</v>
      </c>
      <c r="H124" s="6">
        <v>45592</v>
      </c>
      <c r="I124">
        <v>2</v>
      </c>
    </row>
    <row r="125" spans="1:9" x14ac:dyDescent="0.3">
      <c r="A125" t="s">
        <v>271</v>
      </c>
      <c r="B125" t="s">
        <v>272</v>
      </c>
      <c r="C125" t="s">
        <v>11</v>
      </c>
      <c r="D125" t="s">
        <v>31</v>
      </c>
      <c r="E125" s="5">
        <v>45632</v>
      </c>
      <c r="F125">
        <v>47</v>
      </c>
      <c r="G125" t="s">
        <v>18</v>
      </c>
      <c r="H125" s="6">
        <v>45633</v>
      </c>
      <c r="I125">
        <v>2</v>
      </c>
    </row>
    <row r="126" spans="1:9" x14ac:dyDescent="0.3">
      <c r="A126" t="s">
        <v>273</v>
      </c>
      <c r="B126" t="s">
        <v>274</v>
      </c>
      <c r="C126" t="s">
        <v>28</v>
      </c>
      <c r="D126" t="s">
        <v>31</v>
      </c>
      <c r="E126" s="5">
        <v>45640</v>
      </c>
      <c r="F126">
        <v>38</v>
      </c>
      <c r="G126" t="s">
        <v>18</v>
      </c>
      <c r="H126" s="6">
        <v>45641</v>
      </c>
      <c r="I126">
        <v>2</v>
      </c>
    </row>
    <row r="127" spans="1:9" x14ac:dyDescent="0.3">
      <c r="A127" t="s">
        <v>275</v>
      </c>
      <c r="B127" t="s">
        <v>276</v>
      </c>
      <c r="C127" t="s">
        <v>52</v>
      </c>
      <c r="D127" t="s">
        <v>69</v>
      </c>
      <c r="E127" s="5">
        <v>45496</v>
      </c>
      <c r="F127">
        <v>12</v>
      </c>
      <c r="G127" t="s">
        <v>18</v>
      </c>
      <c r="H127" s="6">
        <v>45496</v>
      </c>
      <c r="I127">
        <v>4</v>
      </c>
    </row>
    <row r="128" spans="1:9" x14ac:dyDescent="0.3">
      <c r="A128" t="s">
        <v>277</v>
      </c>
      <c r="B128" t="s">
        <v>278</v>
      </c>
      <c r="C128" t="s">
        <v>41</v>
      </c>
      <c r="D128" t="s">
        <v>31</v>
      </c>
      <c r="E128" s="5">
        <v>45337</v>
      </c>
      <c r="F128">
        <v>12</v>
      </c>
      <c r="G128" t="s">
        <v>18</v>
      </c>
      <c r="H128" s="6">
        <v>45337</v>
      </c>
      <c r="I128">
        <v>4</v>
      </c>
    </row>
    <row r="129" spans="1:9" x14ac:dyDescent="0.3">
      <c r="A129" t="s">
        <v>279</v>
      </c>
      <c r="B129" t="s">
        <v>280</v>
      </c>
      <c r="C129" t="s">
        <v>11</v>
      </c>
      <c r="D129" t="s">
        <v>31</v>
      </c>
      <c r="E129" s="5">
        <v>45446</v>
      </c>
      <c r="F129">
        <v>14</v>
      </c>
      <c r="G129" t="s">
        <v>32</v>
      </c>
      <c r="H129" s="6"/>
    </row>
    <row r="130" spans="1:9" x14ac:dyDescent="0.3">
      <c r="A130" t="s">
        <v>281</v>
      </c>
      <c r="B130" t="s">
        <v>282</v>
      </c>
      <c r="C130" t="s">
        <v>28</v>
      </c>
      <c r="D130" t="s">
        <v>17</v>
      </c>
      <c r="E130" s="5">
        <v>45656</v>
      </c>
      <c r="F130">
        <v>58</v>
      </c>
      <c r="G130" t="s">
        <v>18</v>
      </c>
      <c r="H130" s="6">
        <v>45658</v>
      </c>
      <c r="I130">
        <v>1</v>
      </c>
    </row>
    <row r="131" spans="1:9" x14ac:dyDescent="0.3">
      <c r="A131" t="s">
        <v>283</v>
      </c>
      <c r="B131" t="s">
        <v>284</v>
      </c>
      <c r="C131" t="s">
        <v>11</v>
      </c>
      <c r="D131" t="s">
        <v>31</v>
      </c>
      <c r="E131" s="5">
        <v>45362</v>
      </c>
      <c r="F131">
        <v>47</v>
      </c>
      <c r="G131" t="s">
        <v>18</v>
      </c>
      <c r="H131" s="6">
        <v>45363</v>
      </c>
      <c r="I131">
        <v>2</v>
      </c>
    </row>
    <row r="132" spans="1:9" x14ac:dyDescent="0.3">
      <c r="A132" t="s">
        <v>285</v>
      </c>
      <c r="B132" t="s">
        <v>286</v>
      </c>
      <c r="C132" t="s">
        <v>16</v>
      </c>
      <c r="D132" t="s">
        <v>17</v>
      </c>
      <c r="E132" s="5">
        <v>45409</v>
      </c>
      <c r="F132">
        <v>36</v>
      </c>
      <c r="G132" t="s">
        <v>13</v>
      </c>
      <c r="H132" s="6"/>
    </row>
    <row r="133" spans="1:9" x14ac:dyDescent="0.3">
      <c r="A133" t="s">
        <v>287</v>
      </c>
      <c r="B133" t="s">
        <v>288</v>
      </c>
      <c r="C133" t="s">
        <v>52</v>
      </c>
      <c r="D133" t="s">
        <v>69</v>
      </c>
      <c r="E133" s="5">
        <v>45574</v>
      </c>
      <c r="F133">
        <v>23</v>
      </c>
      <c r="G133" t="s">
        <v>18</v>
      </c>
      <c r="H133" s="6">
        <v>45574</v>
      </c>
      <c r="I133">
        <v>3</v>
      </c>
    </row>
    <row r="134" spans="1:9" x14ac:dyDescent="0.3">
      <c r="A134" t="s">
        <v>289</v>
      </c>
      <c r="B134" t="s">
        <v>290</v>
      </c>
      <c r="C134" t="s">
        <v>35</v>
      </c>
      <c r="D134" t="s">
        <v>31</v>
      </c>
      <c r="E134" s="5">
        <v>45386</v>
      </c>
      <c r="F134">
        <v>62</v>
      </c>
      <c r="G134" t="s">
        <v>18</v>
      </c>
      <c r="H134" s="6">
        <v>45388</v>
      </c>
      <c r="I134">
        <v>5</v>
      </c>
    </row>
    <row r="135" spans="1:9" x14ac:dyDescent="0.3">
      <c r="A135" t="s">
        <v>291</v>
      </c>
      <c r="B135" t="s">
        <v>292</v>
      </c>
      <c r="C135" t="s">
        <v>52</v>
      </c>
      <c r="D135" t="s">
        <v>23</v>
      </c>
      <c r="E135" s="5">
        <v>45596</v>
      </c>
      <c r="F135">
        <v>20</v>
      </c>
      <c r="G135" t="s">
        <v>32</v>
      </c>
      <c r="H135" s="6"/>
    </row>
    <row r="136" spans="1:9" x14ac:dyDescent="0.3">
      <c r="A136" t="s">
        <v>293</v>
      </c>
      <c r="B136" t="s">
        <v>294</v>
      </c>
      <c r="C136" t="s">
        <v>78</v>
      </c>
      <c r="D136" t="s">
        <v>12</v>
      </c>
      <c r="E136" s="5">
        <v>45494</v>
      </c>
      <c r="F136">
        <v>14</v>
      </c>
      <c r="G136" t="s">
        <v>18</v>
      </c>
      <c r="H136" s="6">
        <v>45494</v>
      </c>
      <c r="I136">
        <v>3</v>
      </c>
    </row>
    <row r="137" spans="1:9" x14ac:dyDescent="0.3">
      <c r="A137" t="s">
        <v>295</v>
      </c>
      <c r="B137" t="s">
        <v>296</v>
      </c>
      <c r="C137" t="s">
        <v>52</v>
      </c>
      <c r="D137" t="s">
        <v>17</v>
      </c>
      <c r="E137" s="5">
        <v>45583</v>
      </c>
      <c r="F137">
        <v>19</v>
      </c>
      <c r="G137" t="s">
        <v>13</v>
      </c>
      <c r="H137" s="6"/>
    </row>
    <row r="138" spans="1:9" x14ac:dyDescent="0.3">
      <c r="A138" t="s">
        <v>297</v>
      </c>
      <c r="B138" t="s">
        <v>298</v>
      </c>
      <c r="C138" t="s">
        <v>16</v>
      </c>
      <c r="D138" t="s">
        <v>23</v>
      </c>
      <c r="E138" s="5">
        <v>45547</v>
      </c>
      <c r="F138">
        <v>33</v>
      </c>
      <c r="G138" t="s">
        <v>18</v>
      </c>
      <c r="H138" s="6">
        <v>45548</v>
      </c>
      <c r="I138">
        <v>2</v>
      </c>
    </row>
    <row r="139" spans="1:9" x14ac:dyDescent="0.3">
      <c r="A139" t="s">
        <v>299</v>
      </c>
      <c r="B139" t="s">
        <v>300</v>
      </c>
      <c r="C139" t="s">
        <v>41</v>
      </c>
      <c r="D139" t="s">
        <v>69</v>
      </c>
      <c r="E139" s="5">
        <v>45438</v>
      </c>
      <c r="F139">
        <v>6</v>
      </c>
      <c r="G139" t="s">
        <v>18</v>
      </c>
      <c r="H139" s="6">
        <v>45438</v>
      </c>
      <c r="I139">
        <v>5</v>
      </c>
    </row>
    <row r="140" spans="1:9" x14ac:dyDescent="0.3">
      <c r="A140" t="s">
        <v>301</v>
      </c>
      <c r="B140" t="s">
        <v>302</v>
      </c>
      <c r="C140" t="s">
        <v>35</v>
      </c>
      <c r="D140" t="s">
        <v>31</v>
      </c>
      <c r="E140" s="5">
        <v>45597</v>
      </c>
      <c r="F140">
        <v>36</v>
      </c>
      <c r="G140" t="s">
        <v>32</v>
      </c>
      <c r="H140" s="6"/>
    </row>
    <row r="141" spans="1:9" x14ac:dyDescent="0.3">
      <c r="A141" t="s">
        <v>303</v>
      </c>
      <c r="B141" t="s">
        <v>304</v>
      </c>
      <c r="C141" t="s">
        <v>16</v>
      </c>
      <c r="D141" t="s">
        <v>23</v>
      </c>
      <c r="E141" s="5">
        <v>45473</v>
      </c>
      <c r="F141">
        <v>29</v>
      </c>
      <c r="G141" t="s">
        <v>18</v>
      </c>
      <c r="H141" s="6">
        <v>45474</v>
      </c>
      <c r="I141">
        <v>5</v>
      </c>
    </row>
    <row r="142" spans="1:9" x14ac:dyDescent="0.3">
      <c r="A142" t="s">
        <v>305</v>
      </c>
      <c r="B142" t="s">
        <v>306</v>
      </c>
      <c r="C142" t="s">
        <v>41</v>
      </c>
      <c r="D142" t="s">
        <v>12</v>
      </c>
      <c r="E142" s="5">
        <v>45645</v>
      </c>
      <c r="F142">
        <v>3</v>
      </c>
      <c r="G142" t="s">
        <v>32</v>
      </c>
      <c r="H142" s="6"/>
    </row>
    <row r="143" spans="1:9" x14ac:dyDescent="0.3">
      <c r="A143" t="s">
        <v>307</v>
      </c>
      <c r="B143" t="s">
        <v>308</v>
      </c>
      <c r="C143" t="s">
        <v>28</v>
      </c>
      <c r="D143" t="s">
        <v>17</v>
      </c>
      <c r="E143" s="5">
        <v>45354</v>
      </c>
      <c r="F143">
        <v>76</v>
      </c>
      <c r="G143" t="s">
        <v>13</v>
      </c>
      <c r="H143" s="6"/>
    </row>
    <row r="144" spans="1:9" x14ac:dyDescent="0.3">
      <c r="A144" t="s">
        <v>309</v>
      </c>
      <c r="B144" t="s">
        <v>310</v>
      </c>
      <c r="C144" t="s">
        <v>52</v>
      </c>
      <c r="D144" t="s">
        <v>69</v>
      </c>
      <c r="E144" s="5">
        <v>45504</v>
      </c>
      <c r="F144">
        <v>22</v>
      </c>
      <c r="G144" t="s">
        <v>13</v>
      </c>
      <c r="H144" s="6"/>
    </row>
    <row r="145" spans="1:9" x14ac:dyDescent="0.3">
      <c r="A145" t="s">
        <v>311</v>
      </c>
      <c r="B145" t="s">
        <v>312</v>
      </c>
      <c r="C145" t="s">
        <v>35</v>
      </c>
      <c r="D145" t="s">
        <v>31</v>
      </c>
      <c r="E145" s="5">
        <v>45351</v>
      </c>
      <c r="F145">
        <v>29</v>
      </c>
      <c r="G145" t="s">
        <v>18</v>
      </c>
      <c r="H145" s="6">
        <v>45352</v>
      </c>
      <c r="I145">
        <v>2</v>
      </c>
    </row>
    <row r="146" spans="1:9" x14ac:dyDescent="0.3">
      <c r="A146" t="s">
        <v>313</v>
      </c>
      <c r="B146" t="s">
        <v>314</v>
      </c>
      <c r="C146" t="s">
        <v>16</v>
      </c>
      <c r="D146" t="s">
        <v>17</v>
      </c>
      <c r="E146" s="5">
        <v>45430</v>
      </c>
      <c r="F146">
        <v>27</v>
      </c>
      <c r="G146" t="s">
        <v>32</v>
      </c>
      <c r="H146" s="6"/>
    </row>
    <row r="147" spans="1:9" x14ac:dyDescent="0.3">
      <c r="A147" t="s">
        <v>315</v>
      </c>
      <c r="B147" t="s">
        <v>316</v>
      </c>
      <c r="C147" t="s">
        <v>11</v>
      </c>
      <c r="D147" t="s">
        <v>17</v>
      </c>
      <c r="E147" s="5">
        <v>45511</v>
      </c>
      <c r="F147">
        <v>6</v>
      </c>
      <c r="G147" t="s">
        <v>18</v>
      </c>
      <c r="H147" s="6">
        <v>45511</v>
      </c>
      <c r="I147">
        <v>5</v>
      </c>
    </row>
    <row r="148" spans="1:9" x14ac:dyDescent="0.3">
      <c r="A148" t="s">
        <v>317</v>
      </c>
      <c r="B148" t="s">
        <v>318</v>
      </c>
      <c r="C148" t="s">
        <v>16</v>
      </c>
      <c r="D148" t="s">
        <v>12</v>
      </c>
      <c r="E148" s="5">
        <v>45649</v>
      </c>
      <c r="F148">
        <v>26</v>
      </c>
      <c r="G148" t="s">
        <v>18</v>
      </c>
      <c r="H148" s="6">
        <v>45650</v>
      </c>
      <c r="I148">
        <v>2</v>
      </c>
    </row>
    <row r="149" spans="1:9" x14ac:dyDescent="0.3">
      <c r="A149" t="s">
        <v>319</v>
      </c>
      <c r="B149" t="s">
        <v>320</v>
      </c>
      <c r="C149" t="s">
        <v>16</v>
      </c>
      <c r="D149" t="s">
        <v>31</v>
      </c>
      <c r="E149" s="5">
        <v>45587</v>
      </c>
      <c r="F149">
        <v>20</v>
      </c>
      <c r="G149" t="s">
        <v>18</v>
      </c>
      <c r="H149" s="6">
        <v>45587</v>
      </c>
      <c r="I149">
        <v>3</v>
      </c>
    </row>
    <row r="150" spans="1:9" x14ac:dyDescent="0.3">
      <c r="A150" t="s">
        <v>321</v>
      </c>
      <c r="B150" t="s">
        <v>322</v>
      </c>
      <c r="C150" t="s">
        <v>52</v>
      </c>
      <c r="D150" t="s">
        <v>69</v>
      </c>
      <c r="E150" s="5">
        <v>45651</v>
      </c>
      <c r="F150">
        <v>23</v>
      </c>
      <c r="G150" t="s">
        <v>18</v>
      </c>
      <c r="H150" s="6">
        <v>45651</v>
      </c>
      <c r="I150">
        <v>3</v>
      </c>
    </row>
    <row r="151" spans="1:9" x14ac:dyDescent="0.3">
      <c r="A151" t="s">
        <v>323</v>
      </c>
      <c r="B151" t="s">
        <v>324</v>
      </c>
      <c r="C151" t="s">
        <v>16</v>
      </c>
      <c r="D151" t="s">
        <v>23</v>
      </c>
      <c r="E151" s="5">
        <v>45587</v>
      </c>
      <c r="F151">
        <v>29</v>
      </c>
      <c r="G151" t="s">
        <v>18</v>
      </c>
      <c r="H151" s="6">
        <v>45588</v>
      </c>
      <c r="I151">
        <v>2</v>
      </c>
    </row>
    <row r="152" spans="1:9" x14ac:dyDescent="0.3">
      <c r="A152" t="s">
        <v>325</v>
      </c>
      <c r="B152" t="s">
        <v>326</v>
      </c>
      <c r="C152" t="s">
        <v>11</v>
      </c>
      <c r="D152" t="s">
        <v>69</v>
      </c>
      <c r="E152" s="5">
        <v>45593</v>
      </c>
      <c r="F152">
        <v>31</v>
      </c>
      <c r="G152" t="s">
        <v>32</v>
      </c>
      <c r="H152" s="6"/>
    </row>
    <row r="153" spans="1:9" x14ac:dyDescent="0.3">
      <c r="A153" t="s">
        <v>327</v>
      </c>
      <c r="B153" t="s">
        <v>328</v>
      </c>
      <c r="C153" t="s">
        <v>11</v>
      </c>
      <c r="D153" t="s">
        <v>23</v>
      </c>
      <c r="E153" s="5">
        <v>45559</v>
      </c>
      <c r="F153">
        <v>43</v>
      </c>
      <c r="G153" t="s">
        <v>18</v>
      </c>
      <c r="H153" s="6">
        <v>45560</v>
      </c>
      <c r="I153">
        <v>2</v>
      </c>
    </row>
    <row r="154" spans="1:9" x14ac:dyDescent="0.3">
      <c r="A154" t="s">
        <v>329</v>
      </c>
      <c r="B154" t="s">
        <v>330</v>
      </c>
      <c r="C154" t="s">
        <v>28</v>
      </c>
      <c r="D154" t="s">
        <v>69</v>
      </c>
      <c r="E154" s="5">
        <v>45610</v>
      </c>
      <c r="F154">
        <v>52</v>
      </c>
      <c r="G154" t="s">
        <v>18</v>
      </c>
      <c r="H154" s="6">
        <v>45612</v>
      </c>
      <c r="I154">
        <v>1</v>
      </c>
    </row>
    <row r="155" spans="1:9" x14ac:dyDescent="0.3">
      <c r="A155" t="s">
        <v>331</v>
      </c>
      <c r="B155" t="s">
        <v>332</v>
      </c>
      <c r="C155" t="s">
        <v>28</v>
      </c>
      <c r="D155" t="s">
        <v>69</v>
      </c>
      <c r="E155" s="5">
        <v>45476</v>
      </c>
      <c r="F155">
        <v>43</v>
      </c>
      <c r="G155" t="s">
        <v>18</v>
      </c>
      <c r="H155" s="6">
        <v>45477</v>
      </c>
      <c r="I155">
        <v>5</v>
      </c>
    </row>
    <row r="156" spans="1:9" x14ac:dyDescent="0.3">
      <c r="A156" t="s">
        <v>333</v>
      </c>
      <c r="B156" t="s">
        <v>334</v>
      </c>
      <c r="C156" t="s">
        <v>28</v>
      </c>
      <c r="D156" t="s">
        <v>23</v>
      </c>
      <c r="E156" s="5">
        <v>45602</v>
      </c>
      <c r="F156">
        <v>57</v>
      </c>
      <c r="G156" t="s">
        <v>13</v>
      </c>
      <c r="H156" s="6"/>
    </row>
    <row r="157" spans="1:9" x14ac:dyDescent="0.3">
      <c r="A157" t="s">
        <v>335</v>
      </c>
      <c r="B157" t="s">
        <v>336</v>
      </c>
      <c r="C157" t="s">
        <v>41</v>
      </c>
      <c r="D157" t="s">
        <v>23</v>
      </c>
      <c r="E157" s="5">
        <v>45518</v>
      </c>
      <c r="F157">
        <v>5</v>
      </c>
      <c r="G157" t="s">
        <v>13</v>
      </c>
      <c r="H157" s="6"/>
    </row>
    <row r="158" spans="1:9" x14ac:dyDescent="0.3">
      <c r="A158" t="s">
        <v>337</v>
      </c>
      <c r="B158" t="s">
        <v>338</v>
      </c>
      <c r="C158" t="s">
        <v>28</v>
      </c>
      <c r="D158" t="s">
        <v>17</v>
      </c>
      <c r="E158" s="5">
        <v>45579</v>
      </c>
      <c r="F158">
        <v>26</v>
      </c>
      <c r="G158" t="s">
        <v>18</v>
      </c>
      <c r="H158" s="6">
        <v>45580</v>
      </c>
      <c r="I158">
        <v>2</v>
      </c>
    </row>
    <row r="159" spans="1:9" x14ac:dyDescent="0.3">
      <c r="A159" t="s">
        <v>339</v>
      </c>
      <c r="B159" t="s">
        <v>340</v>
      </c>
      <c r="C159" t="s">
        <v>38</v>
      </c>
      <c r="D159" t="s">
        <v>12</v>
      </c>
      <c r="E159" s="5">
        <v>45451</v>
      </c>
      <c r="F159">
        <v>58</v>
      </c>
      <c r="G159" t="s">
        <v>18</v>
      </c>
      <c r="H159" s="6">
        <v>45453</v>
      </c>
      <c r="I159">
        <v>5</v>
      </c>
    </row>
    <row r="160" spans="1:9" x14ac:dyDescent="0.3">
      <c r="A160" t="s">
        <v>341</v>
      </c>
      <c r="B160" t="s">
        <v>342</v>
      </c>
      <c r="C160" t="s">
        <v>16</v>
      </c>
      <c r="D160" t="s">
        <v>69</v>
      </c>
      <c r="E160" s="5">
        <v>45657</v>
      </c>
      <c r="F160">
        <v>13</v>
      </c>
      <c r="G160" t="s">
        <v>13</v>
      </c>
      <c r="H160" s="6"/>
    </row>
    <row r="161" spans="1:9" x14ac:dyDescent="0.3">
      <c r="A161" t="s">
        <v>343</v>
      </c>
      <c r="B161" t="s">
        <v>344</v>
      </c>
      <c r="C161" t="s">
        <v>11</v>
      </c>
      <c r="D161" t="s">
        <v>31</v>
      </c>
      <c r="E161" s="5">
        <v>45468</v>
      </c>
      <c r="F161">
        <v>34</v>
      </c>
      <c r="G161" t="s">
        <v>18</v>
      </c>
      <c r="H161" s="6">
        <v>45469</v>
      </c>
      <c r="I161">
        <v>2</v>
      </c>
    </row>
    <row r="162" spans="1:9" x14ac:dyDescent="0.3">
      <c r="A162" t="s">
        <v>345</v>
      </c>
      <c r="B162" t="s">
        <v>346</v>
      </c>
      <c r="C162" t="s">
        <v>41</v>
      </c>
      <c r="D162" t="s">
        <v>31</v>
      </c>
      <c r="E162" s="5">
        <v>45559</v>
      </c>
      <c r="F162">
        <v>5</v>
      </c>
      <c r="G162" t="s">
        <v>18</v>
      </c>
      <c r="H162" s="6">
        <v>45559</v>
      </c>
      <c r="I162">
        <v>5</v>
      </c>
    </row>
    <row r="163" spans="1:9" x14ac:dyDescent="0.3">
      <c r="A163" t="s">
        <v>347</v>
      </c>
      <c r="B163" t="s">
        <v>348</v>
      </c>
      <c r="C163" t="s">
        <v>78</v>
      </c>
      <c r="D163" t="s">
        <v>17</v>
      </c>
      <c r="E163" s="5">
        <v>45572</v>
      </c>
      <c r="F163">
        <v>2</v>
      </c>
      <c r="G163" t="s">
        <v>18</v>
      </c>
      <c r="H163" s="6">
        <v>45572</v>
      </c>
      <c r="I163">
        <v>5</v>
      </c>
    </row>
    <row r="164" spans="1:9" x14ac:dyDescent="0.3">
      <c r="A164" t="s">
        <v>349</v>
      </c>
      <c r="B164" t="s">
        <v>350</v>
      </c>
      <c r="C164" t="s">
        <v>35</v>
      </c>
      <c r="D164" t="s">
        <v>31</v>
      </c>
      <c r="E164" s="5">
        <v>45481</v>
      </c>
      <c r="F164">
        <v>41</v>
      </c>
      <c r="G164" t="s">
        <v>18</v>
      </c>
      <c r="H164" s="6">
        <v>45482</v>
      </c>
      <c r="I164">
        <v>2</v>
      </c>
    </row>
    <row r="165" spans="1:9" x14ac:dyDescent="0.3">
      <c r="A165" t="s">
        <v>351</v>
      </c>
      <c r="B165" t="s">
        <v>352</v>
      </c>
      <c r="C165" t="s">
        <v>52</v>
      </c>
      <c r="D165" t="s">
        <v>12</v>
      </c>
      <c r="E165" s="5">
        <v>45318</v>
      </c>
      <c r="F165">
        <v>18</v>
      </c>
      <c r="G165" t="s">
        <v>18</v>
      </c>
      <c r="H165" s="6">
        <v>45318</v>
      </c>
      <c r="I165">
        <v>3</v>
      </c>
    </row>
    <row r="166" spans="1:9" x14ac:dyDescent="0.3">
      <c r="A166" t="s">
        <v>353</v>
      </c>
      <c r="B166" t="s">
        <v>354</v>
      </c>
      <c r="C166" t="s">
        <v>78</v>
      </c>
      <c r="D166" t="s">
        <v>12</v>
      </c>
      <c r="E166" s="5">
        <v>45342</v>
      </c>
      <c r="F166">
        <v>16</v>
      </c>
      <c r="G166" t="s">
        <v>18</v>
      </c>
      <c r="H166" s="6">
        <v>45342</v>
      </c>
      <c r="I166">
        <v>3</v>
      </c>
    </row>
    <row r="167" spans="1:9" x14ac:dyDescent="0.3">
      <c r="A167" t="s">
        <v>355</v>
      </c>
      <c r="B167" t="s">
        <v>356</v>
      </c>
      <c r="C167" t="s">
        <v>11</v>
      </c>
      <c r="D167" t="s">
        <v>31</v>
      </c>
      <c r="E167" s="5">
        <v>45349</v>
      </c>
      <c r="F167">
        <v>12</v>
      </c>
      <c r="G167" t="s">
        <v>18</v>
      </c>
      <c r="H167" s="6">
        <v>45349</v>
      </c>
      <c r="I167">
        <v>4</v>
      </c>
    </row>
    <row r="168" spans="1:9" x14ac:dyDescent="0.3">
      <c r="A168" t="s">
        <v>357</v>
      </c>
      <c r="B168" t="s">
        <v>358</v>
      </c>
      <c r="C168" t="s">
        <v>38</v>
      </c>
      <c r="D168" t="s">
        <v>69</v>
      </c>
      <c r="E168" s="5">
        <v>45400</v>
      </c>
      <c r="F168">
        <v>60</v>
      </c>
      <c r="G168" t="s">
        <v>18</v>
      </c>
      <c r="H168" s="6">
        <v>45402</v>
      </c>
      <c r="I168">
        <v>1</v>
      </c>
    </row>
    <row r="169" spans="1:9" x14ac:dyDescent="0.3">
      <c r="A169" t="s">
        <v>359</v>
      </c>
      <c r="B169" t="s">
        <v>360</v>
      </c>
      <c r="C169" t="s">
        <v>78</v>
      </c>
      <c r="D169" t="s">
        <v>12</v>
      </c>
      <c r="E169" s="5">
        <v>45369</v>
      </c>
      <c r="F169">
        <v>19</v>
      </c>
      <c r="G169" t="s">
        <v>18</v>
      </c>
      <c r="H169" s="6">
        <v>45369</v>
      </c>
      <c r="I169">
        <v>3</v>
      </c>
    </row>
    <row r="170" spans="1:9" x14ac:dyDescent="0.3">
      <c r="A170" t="s">
        <v>361</v>
      </c>
      <c r="B170" t="s">
        <v>362</v>
      </c>
      <c r="C170" t="s">
        <v>35</v>
      </c>
      <c r="D170" t="s">
        <v>31</v>
      </c>
      <c r="E170" s="5">
        <v>45636</v>
      </c>
      <c r="F170">
        <v>60</v>
      </c>
      <c r="G170" t="s">
        <v>18</v>
      </c>
      <c r="H170" s="6">
        <v>45638</v>
      </c>
      <c r="I170">
        <v>1</v>
      </c>
    </row>
    <row r="171" spans="1:9" x14ac:dyDescent="0.3">
      <c r="A171" t="s">
        <v>363</v>
      </c>
      <c r="B171" t="s">
        <v>364</v>
      </c>
      <c r="C171" t="s">
        <v>52</v>
      </c>
      <c r="D171" t="s">
        <v>12</v>
      </c>
      <c r="E171" s="5">
        <v>45458</v>
      </c>
      <c r="F171">
        <v>9</v>
      </c>
      <c r="G171" t="s">
        <v>18</v>
      </c>
      <c r="H171" s="6">
        <v>45458</v>
      </c>
      <c r="I171">
        <v>4</v>
      </c>
    </row>
    <row r="172" spans="1:9" x14ac:dyDescent="0.3">
      <c r="A172" t="s">
        <v>365</v>
      </c>
      <c r="B172" t="s">
        <v>366</v>
      </c>
      <c r="C172" t="s">
        <v>78</v>
      </c>
      <c r="D172" t="s">
        <v>17</v>
      </c>
      <c r="E172" s="5">
        <v>45618</v>
      </c>
      <c r="F172">
        <v>21</v>
      </c>
      <c r="G172" t="s">
        <v>18</v>
      </c>
      <c r="H172" s="6">
        <v>45618</v>
      </c>
      <c r="I172">
        <v>3</v>
      </c>
    </row>
    <row r="173" spans="1:9" x14ac:dyDescent="0.3">
      <c r="A173" t="s">
        <v>367</v>
      </c>
      <c r="B173" t="s">
        <v>368</v>
      </c>
      <c r="C173" t="s">
        <v>41</v>
      </c>
      <c r="D173" t="s">
        <v>12</v>
      </c>
      <c r="E173" s="5">
        <v>45545</v>
      </c>
      <c r="F173">
        <v>10</v>
      </c>
      <c r="G173" t="s">
        <v>18</v>
      </c>
      <c r="H173" s="6">
        <v>45545</v>
      </c>
      <c r="I173">
        <v>4</v>
      </c>
    </row>
    <row r="174" spans="1:9" x14ac:dyDescent="0.3">
      <c r="A174" t="s">
        <v>369</v>
      </c>
      <c r="B174" t="s">
        <v>370</v>
      </c>
      <c r="C174" t="s">
        <v>11</v>
      </c>
      <c r="D174" t="s">
        <v>31</v>
      </c>
      <c r="E174" s="5">
        <v>45651</v>
      </c>
      <c r="F174">
        <v>27</v>
      </c>
      <c r="G174" t="s">
        <v>32</v>
      </c>
      <c r="H174" s="6"/>
    </row>
    <row r="175" spans="1:9" x14ac:dyDescent="0.3">
      <c r="A175" t="s">
        <v>371</v>
      </c>
      <c r="B175" t="s">
        <v>372</v>
      </c>
      <c r="C175" t="s">
        <v>41</v>
      </c>
      <c r="D175" t="s">
        <v>69</v>
      </c>
      <c r="E175" s="5">
        <v>45605</v>
      </c>
      <c r="F175">
        <v>3</v>
      </c>
      <c r="G175" t="s">
        <v>18</v>
      </c>
      <c r="H175" s="6">
        <v>45605</v>
      </c>
      <c r="I175">
        <v>5</v>
      </c>
    </row>
    <row r="176" spans="1:9" x14ac:dyDescent="0.3">
      <c r="A176" t="s">
        <v>373</v>
      </c>
      <c r="B176" t="s">
        <v>374</v>
      </c>
      <c r="C176" t="s">
        <v>16</v>
      </c>
      <c r="D176" t="s">
        <v>12</v>
      </c>
      <c r="E176" s="5">
        <v>45300</v>
      </c>
      <c r="F176">
        <v>16</v>
      </c>
      <c r="G176" t="s">
        <v>18</v>
      </c>
      <c r="H176" s="6">
        <v>45300</v>
      </c>
      <c r="I176">
        <v>3</v>
      </c>
    </row>
    <row r="177" spans="1:9" x14ac:dyDescent="0.3">
      <c r="A177" t="s">
        <v>375</v>
      </c>
      <c r="B177" t="s">
        <v>376</v>
      </c>
      <c r="C177" t="s">
        <v>38</v>
      </c>
      <c r="D177" t="s">
        <v>12</v>
      </c>
      <c r="E177" s="5">
        <v>45320</v>
      </c>
      <c r="F177">
        <v>21</v>
      </c>
      <c r="G177" t="s">
        <v>18</v>
      </c>
      <c r="H177" s="6">
        <v>45320</v>
      </c>
      <c r="I177">
        <v>3</v>
      </c>
    </row>
    <row r="178" spans="1:9" x14ac:dyDescent="0.3">
      <c r="A178" t="s">
        <v>377</v>
      </c>
      <c r="B178" t="s">
        <v>378</v>
      </c>
      <c r="C178" t="s">
        <v>38</v>
      </c>
      <c r="D178" t="s">
        <v>23</v>
      </c>
      <c r="E178" s="5">
        <v>45503</v>
      </c>
      <c r="F178">
        <v>6</v>
      </c>
      <c r="G178" t="s">
        <v>13</v>
      </c>
      <c r="H178" s="6"/>
    </row>
    <row r="179" spans="1:9" x14ac:dyDescent="0.3">
      <c r="A179" t="s">
        <v>379</v>
      </c>
      <c r="B179" t="s">
        <v>380</v>
      </c>
      <c r="C179" t="s">
        <v>35</v>
      </c>
      <c r="D179" t="s">
        <v>69</v>
      </c>
      <c r="E179" s="5">
        <v>45357</v>
      </c>
      <c r="F179">
        <v>51</v>
      </c>
      <c r="G179" t="s">
        <v>18</v>
      </c>
      <c r="H179" s="6">
        <v>45359</v>
      </c>
      <c r="I179">
        <v>1</v>
      </c>
    </row>
    <row r="180" spans="1:9" x14ac:dyDescent="0.3">
      <c r="A180" t="s">
        <v>381</v>
      </c>
      <c r="B180" t="s">
        <v>382</v>
      </c>
      <c r="C180" t="s">
        <v>41</v>
      </c>
      <c r="D180" t="s">
        <v>31</v>
      </c>
      <c r="E180" s="5">
        <v>45585</v>
      </c>
      <c r="F180">
        <v>6</v>
      </c>
      <c r="G180" t="s">
        <v>18</v>
      </c>
      <c r="H180" s="6">
        <v>45585</v>
      </c>
      <c r="I180">
        <v>5</v>
      </c>
    </row>
    <row r="181" spans="1:9" x14ac:dyDescent="0.3">
      <c r="A181" t="s">
        <v>383</v>
      </c>
      <c r="B181" t="s">
        <v>384</v>
      </c>
      <c r="C181" t="s">
        <v>35</v>
      </c>
      <c r="D181" t="s">
        <v>23</v>
      </c>
      <c r="E181" s="5">
        <v>45402</v>
      </c>
      <c r="F181">
        <v>17</v>
      </c>
      <c r="G181" t="s">
        <v>18</v>
      </c>
      <c r="H181" s="6">
        <v>45402</v>
      </c>
      <c r="I181">
        <v>3</v>
      </c>
    </row>
    <row r="182" spans="1:9" x14ac:dyDescent="0.3">
      <c r="A182" t="s">
        <v>385</v>
      </c>
      <c r="B182" t="s">
        <v>386</v>
      </c>
      <c r="C182" t="s">
        <v>11</v>
      </c>
      <c r="D182" t="s">
        <v>23</v>
      </c>
      <c r="E182" s="5">
        <v>45305</v>
      </c>
      <c r="F182">
        <v>39</v>
      </c>
      <c r="G182" t="s">
        <v>18</v>
      </c>
      <c r="H182" s="6">
        <v>45306</v>
      </c>
      <c r="I182">
        <v>2</v>
      </c>
    </row>
    <row r="183" spans="1:9" x14ac:dyDescent="0.3">
      <c r="A183" t="s">
        <v>387</v>
      </c>
      <c r="B183" t="s">
        <v>388</v>
      </c>
      <c r="C183" t="s">
        <v>35</v>
      </c>
      <c r="D183" t="s">
        <v>23</v>
      </c>
      <c r="E183" s="5">
        <v>45551</v>
      </c>
      <c r="F183">
        <v>67</v>
      </c>
      <c r="G183" t="s">
        <v>18</v>
      </c>
      <c r="H183" s="6">
        <v>45553</v>
      </c>
      <c r="I183">
        <v>1</v>
      </c>
    </row>
    <row r="184" spans="1:9" x14ac:dyDescent="0.3">
      <c r="A184" t="s">
        <v>389</v>
      </c>
      <c r="B184" t="s">
        <v>390</v>
      </c>
      <c r="C184" t="s">
        <v>38</v>
      </c>
      <c r="D184" t="s">
        <v>69</v>
      </c>
      <c r="E184" s="5">
        <v>45308</v>
      </c>
      <c r="F184">
        <v>27</v>
      </c>
      <c r="G184" t="s">
        <v>18</v>
      </c>
      <c r="H184" s="6">
        <v>45309</v>
      </c>
      <c r="I184">
        <v>2</v>
      </c>
    </row>
    <row r="185" spans="1:9" x14ac:dyDescent="0.3">
      <c r="A185" t="s">
        <v>391</v>
      </c>
      <c r="B185" t="s">
        <v>392</v>
      </c>
      <c r="C185" t="s">
        <v>38</v>
      </c>
      <c r="D185" t="s">
        <v>23</v>
      </c>
      <c r="E185" s="5">
        <v>45518</v>
      </c>
      <c r="F185">
        <v>39</v>
      </c>
      <c r="G185" t="s">
        <v>18</v>
      </c>
      <c r="H185" s="6">
        <v>45519</v>
      </c>
      <c r="I185">
        <v>2</v>
      </c>
    </row>
    <row r="186" spans="1:9" x14ac:dyDescent="0.3">
      <c r="A186" t="s">
        <v>393</v>
      </c>
      <c r="B186" t="s">
        <v>394</v>
      </c>
      <c r="C186" t="s">
        <v>52</v>
      </c>
      <c r="D186" t="s">
        <v>12</v>
      </c>
      <c r="E186" s="5">
        <v>45432</v>
      </c>
      <c r="F186">
        <v>15</v>
      </c>
      <c r="G186" t="s">
        <v>18</v>
      </c>
      <c r="H186" s="6">
        <v>45432</v>
      </c>
      <c r="I186">
        <v>5</v>
      </c>
    </row>
    <row r="187" spans="1:9" x14ac:dyDescent="0.3">
      <c r="A187" t="s">
        <v>395</v>
      </c>
      <c r="B187" t="s">
        <v>396</v>
      </c>
      <c r="C187" t="s">
        <v>41</v>
      </c>
      <c r="D187" t="s">
        <v>17</v>
      </c>
      <c r="E187" s="5">
        <v>45487</v>
      </c>
      <c r="F187">
        <v>7</v>
      </c>
      <c r="G187" t="s">
        <v>13</v>
      </c>
      <c r="H187" s="6"/>
    </row>
    <row r="188" spans="1:9" x14ac:dyDescent="0.3">
      <c r="A188" t="s">
        <v>397</v>
      </c>
      <c r="B188" t="s">
        <v>398</v>
      </c>
      <c r="C188" t="s">
        <v>38</v>
      </c>
      <c r="D188" t="s">
        <v>31</v>
      </c>
      <c r="E188" s="5">
        <v>45510</v>
      </c>
      <c r="F188">
        <v>16</v>
      </c>
      <c r="G188" t="s">
        <v>13</v>
      </c>
      <c r="H188" s="6"/>
    </row>
    <row r="189" spans="1:9" x14ac:dyDescent="0.3">
      <c r="A189" t="s">
        <v>399</v>
      </c>
      <c r="B189" t="s">
        <v>400</v>
      </c>
      <c r="C189" t="s">
        <v>41</v>
      </c>
      <c r="D189" t="s">
        <v>31</v>
      </c>
      <c r="E189" s="5">
        <v>45583</v>
      </c>
      <c r="F189">
        <v>4</v>
      </c>
      <c r="G189" t="s">
        <v>13</v>
      </c>
      <c r="H189" s="6"/>
    </row>
    <row r="190" spans="1:9" x14ac:dyDescent="0.3">
      <c r="A190" t="s">
        <v>401</v>
      </c>
      <c r="B190" t="s">
        <v>402</v>
      </c>
      <c r="C190" t="s">
        <v>52</v>
      </c>
      <c r="D190" t="s">
        <v>69</v>
      </c>
      <c r="E190" s="5">
        <v>45312</v>
      </c>
      <c r="F190">
        <v>17</v>
      </c>
      <c r="G190" t="s">
        <v>18</v>
      </c>
      <c r="H190" s="6">
        <v>45312</v>
      </c>
      <c r="I190">
        <v>3</v>
      </c>
    </row>
    <row r="191" spans="1:9" x14ac:dyDescent="0.3">
      <c r="A191" t="s">
        <v>403</v>
      </c>
      <c r="B191" t="s">
        <v>404</v>
      </c>
      <c r="C191" t="s">
        <v>11</v>
      </c>
      <c r="D191" t="s">
        <v>17</v>
      </c>
      <c r="E191" s="5">
        <v>45525</v>
      </c>
      <c r="F191">
        <v>36</v>
      </c>
      <c r="G191" t="s">
        <v>32</v>
      </c>
      <c r="H191" s="6"/>
    </row>
    <row r="192" spans="1:9" x14ac:dyDescent="0.3">
      <c r="A192" t="s">
        <v>405</v>
      </c>
      <c r="B192" t="s">
        <v>406</v>
      </c>
      <c r="C192" t="s">
        <v>28</v>
      </c>
      <c r="D192" t="s">
        <v>12</v>
      </c>
      <c r="E192" s="5">
        <v>45474</v>
      </c>
      <c r="F192">
        <v>66</v>
      </c>
      <c r="G192" t="s">
        <v>18</v>
      </c>
      <c r="H192" s="6">
        <v>45476</v>
      </c>
      <c r="I192">
        <v>1</v>
      </c>
    </row>
    <row r="193" spans="1:9" x14ac:dyDescent="0.3">
      <c r="A193" t="s">
        <v>407</v>
      </c>
      <c r="B193" t="s">
        <v>408</v>
      </c>
      <c r="C193" t="s">
        <v>41</v>
      </c>
      <c r="D193" t="s">
        <v>69</v>
      </c>
      <c r="E193" s="5">
        <v>45560</v>
      </c>
      <c r="F193">
        <v>8</v>
      </c>
      <c r="G193" t="s">
        <v>18</v>
      </c>
      <c r="H193" s="6">
        <v>45560</v>
      </c>
      <c r="I193">
        <v>4</v>
      </c>
    </row>
    <row r="194" spans="1:9" x14ac:dyDescent="0.3">
      <c r="A194" t="s">
        <v>409</v>
      </c>
      <c r="B194" t="s">
        <v>410</v>
      </c>
      <c r="C194" t="s">
        <v>28</v>
      </c>
      <c r="D194" t="s">
        <v>17</v>
      </c>
      <c r="E194" s="5">
        <v>45527</v>
      </c>
      <c r="F194">
        <v>66</v>
      </c>
      <c r="G194" t="s">
        <v>18</v>
      </c>
      <c r="H194" s="6">
        <v>45529</v>
      </c>
      <c r="I194">
        <v>5</v>
      </c>
    </row>
    <row r="195" spans="1:9" x14ac:dyDescent="0.3">
      <c r="A195" t="s">
        <v>411</v>
      </c>
      <c r="B195" t="s">
        <v>412</v>
      </c>
      <c r="C195" t="s">
        <v>11</v>
      </c>
      <c r="D195" t="s">
        <v>17</v>
      </c>
      <c r="E195" s="5">
        <v>45404</v>
      </c>
      <c r="F195">
        <v>32</v>
      </c>
      <c r="G195" t="s">
        <v>18</v>
      </c>
      <c r="H195" s="6">
        <v>45405</v>
      </c>
      <c r="I195">
        <v>2</v>
      </c>
    </row>
    <row r="196" spans="1:9" x14ac:dyDescent="0.3">
      <c r="A196" t="s">
        <v>413</v>
      </c>
      <c r="B196" t="s">
        <v>414</v>
      </c>
      <c r="C196" t="s">
        <v>35</v>
      </c>
      <c r="D196" t="s">
        <v>69</v>
      </c>
      <c r="E196" s="5">
        <v>45416</v>
      </c>
      <c r="F196">
        <v>23</v>
      </c>
      <c r="G196" t="s">
        <v>13</v>
      </c>
      <c r="H196" s="6"/>
    </row>
    <row r="197" spans="1:9" x14ac:dyDescent="0.3">
      <c r="A197" t="s">
        <v>415</v>
      </c>
      <c r="B197" t="s">
        <v>416</v>
      </c>
      <c r="C197" t="s">
        <v>38</v>
      </c>
      <c r="D197" t="s">
        <v>23</v>
      </c>
      <c r="E197" s="5">
        <v>45657</v>
      </c>
      <c r="F197">
        <v>8</v>
      </c>
      <c r="G197" t="s">
        <v>18</v>
      </c>
      <c r="H197" s="6">
        <v>45657</v>
      </c>
      <c r="I197">
        <v>4</v>
      </c>
    </row>
    <row r="198" spans="1:9" x14ac:dyDescent="0.3">
      <c r="A198" t="s">
        <v>417</v>
      </c>
      <c r="B198" t="s">
        <v>418</v>
      </c>
      <c r="C198" t="s">
        <v>35</v>
      </c>
      <c r="D198" t="s">
        <v>69</v>
      </c>
      <c r="E198" s="5">
        <v>45639</v>
      </c>
      <c r="F198">
        <v>9</v>
      </c>
      <c r="G198" t="s">
        <v>13</v>
      </c>
      <c r="H198" s="6"/>
    </row>
    <row r="199" spans="1:9" x14ac:dyDescent="0.3">
      <c r="A199" t="s">
        <v>419</v>
      </c>
      <c r="B199" t="s">
        <v>420</v>
      </c>
      <c r="C199" t="s">
        <v>35</v>
      </c>
      <c r="D199" t="s">
        <v>31</v>
      </c>
      <c r="E199" s="5">
        <v>45434</v>
      </c>
      <c r="F199">
        <v>63</v>
      </c>
      <c r="G199" t="s">
        <v>13</v>
      </c>
      <c r="H199" s="6"/>
    </row>
    <row r="200" spans="1:9" x14ac:dyDescent="0.3">
      <c r="A200" t="s">
        <v>421</v>
      </c>
      <c r="B200" t="s">
        <v>422</v>
      </c>
      <c r="C200" t="s">
        <v>38</v>
      </c>
      <c r="D200" t="s">
        <v>31</v>
      </c>
      <c r="E200" s="5">
        <v>45476</v>
      </c>
      <c r="F200">
        <v>42</v>
      </c>
      <c r="G200" t="s">
        <v>18</v>
      </c>
      <c r="H200" s="6">
        <v>45477</v>
      </c>
      <c r="I200">
        <v>2</v>
      </c>
    </row>
    <row r="201" spans="1:9" x14ac:dyDescent="0.3">
      <c r="A201" t="s">
        <v>423</v>
      </c>
      <c r="B201" t="s">
        <v>424</v>
      </c>
      <c r="C201" t="s">
        <v>28</v>
      </c>
      <c r="D201" t="s">
        <v>23</v>
      </c>
      <c r="E201" s="5">
        <v>45518</v>
      </c>
      <c r="F201">
        <v>77</v>
      </c>
      <c r="G201" t="s">
        <v>18</v>
      </c>
      <c r="H201" s="6">
        <v>45521</v>
      </c>
      <c r="I201">
        <v>5</v>
      </c>
    </row>
    <row r="202" spans="1:9" x14ac:dyDescent="0.3">
      <c r="A202" t="s">
        <v>425</v>
      </c>
      <c r="B202" t="s">
        <v>426</v>
      </c>
      <c r="C202" t="s">
        <v>35</v>
      </c>
      <c r="D202" t="s">
        <v>12</v>
      </c>
      <c r="E202" s="5">
        <v>45410</v>
      </c>
      <c r="F202">
        <v>22</v>
      </c>
      <c r="G202" t="s">
        <v>18</v>
      </c>
      <c r="H202" s="6">
        <v>45410</v>
      </c>
      <c r="I202">
        <v>5</v>
      </c>
    </row>
    <row r="203" spans="1:9" x14ac:dyDescent="0.3">
      <c r="A203" t="s">
        <v>427</v>
      </c>
      <c r="B203" t="s">
        <v>428</v>
      </c>
      <c r="C203" t="s">
        <v>38</v>
      </c>
      <c r="D203" t="s">
        <v>17</v>
      </c>
      <c r="E203" s="5">
        <v>45523</v>
      </c>
      <c r="F203">
        <v>38</v>
      </c>
      <c r="G203" t="s">
        <v>18</v>
      </c>
      <c r="H203" s="6">
        <v>45524</v>
      </c>
      <c r="I203">
        <v>2</v>
      </c>
    </row>
    <row r="204" spans="1:9" x14ac:dyDescent="0.3">
      <c r="A204" t="s">
        <v>429</v>
      </c>
      <c r="B204" t="s">
        <v>430</v>
      </c>
      <c r="C204" t="s">
        <v>38</v>
      </c>
      <c r="D204" t="s">
        <v>31</v>
      </c>
      <c r="E204" s="5">
        <v>45369</v>
      </c>
      <c r="F204">
        <v>33</v>
      </c>
      <c r="G204" t="s">
        <v>32</v>
      </c>
      <c r="H204" s="6"/>
    </row>
    <row r="205" spans="1:9" x14ac:dyDescent="0.3">
      <c r="A205" t="s">
        <v>431</v>
      </c>
      <c r="B205" t="s">
        <v>432</v>
      </c>
      <c r="C205" t="s">
        <v>41</v>
      </c>
      <c r="D205" t="s">
        <v>17</v>
      </c>
      <c r="E205" s="5">
        <v>45375</v>
      </c>
      <c r="F205">
        <v>7</v>
      </c>
      <c r="G205" t="s">
        <v>13</v>
      </c>
      <c r="H205" s="6"/>
    </row>
    <row r="206" spans="1:9" x14ac:dyDescent="0.3">
      <c r="A206" t="s">
        <v>433</v>
      </c>
      <c r="B206" t="s">
        <v>434</v>
      </c>
      <c r="C206" t="s">
        <v>11</v>
      </c>
      <c r="D206" t="s">
        <v>69</v>
      </c>
      <c r="E206" s="5">
        <v>45358</v>
      </c>
      <c r="F206">
        <v>26</v>
      </c>
      <c r="G206" t="s">
        <v>18</v>
      </c>
      <c r="H206" s="6">
        <v>45359</v>
      </c>
      <c r="I206">
        <v>2</v>
      </c>
    </row>
    <row r="207" spans="1:9" x14ac:dyDescent="0.3">
      <c r="A207" t="s">
        <v>435</v>
      </c>
      <c r="B207" t="s">
        <v>436</v>
      </c>
      <c r="C207" t="s">
        <v>16</v>
      </c>
      <c r="D207" t="s">
        <v>17</v>
      </c>
      <c r="E207" s="5">
        <v>45438</v>
      </c>
      <c r="F207">
        <v>24</v>
      </c>
      <c r="G207" t="s">
        <v>18</v>
      </c>
      <c r="H207" s="6">
        <v>45439</v>
      </c>
      <c r="I207">
        <v>3</v>
      </c>
    </row>
    <row r="208" spans="1:9" x14ac:dyDescent="0.3">
      <c r="A208" t="s">
        <v>437</v>
      </c>
      <c r="B208" t="s">
        <v>438</v>
      </c>
      <c r="C208" t="s">
        <v>16</v>
      </c>
      <c r="D208" t="s">
        <v>69</v>
      </c>
      <c r="E208" s="5">
        <v>45515</v>
      </c>
      <c r="F208">
        <v>33</v>
      </c>
      <c r="G208" t="s">
        <v>13</v>
      </c>
      <c r="H208" s="6"/>
    </row>
    <row r="209" spans="1:9" x14ac:dyDescent="0.3">
      <c r="A209" t="s">
        <v>439</v>
      </c>
      <c r="B209" t="s">
        <v>440</v>
      </c>
      <c r="C209" t="s">
        <v>16</v>
      </c>
      <c r="D209" t="s">
        <v>23</v>
      </c>
      <c r="E209" s="5">
        <v>45369</v>
      </c>
      <c r="F209">
        <v>8</v>
      </c>
      <c r="G209" t="s">
        <v>18</v>
      </c>
      <c r="H209" s="6">
        <v>45369</v>
      </c>
      <c r="I209">
        <v>4</v>
      </c>
    </row>
    <row r="210" spans="1:9" x14ac:dyDescent="0.3">
      <c r="A210" t="s">
        <v>441</v>
      </c>
      <c r="B210" t="s">
        <v>442</v>
      </c>
      <c r="C210" t="s">
        <v>78</v>
      </c>
      <c r="D210" t="s">
        <v>23</v>
      </c>
      <c r="E210" s="5">
        <v>45367</v>
      </c>
      <c r="F210">
        <v>22</v>
      </c>
      <c r="G210" t="s">
        <v>13</v>
      </c>
      <c r="H210" s="6"/>
    </row>
    <row r="211" spans="1:9" x14ac:dyDescent="0.3">
      <c r="A211" t="s">
        <v>443</v>
      </c>
      <c r="B211" t="s">
        <v>444</v>
      </c>
      <c r="C211" t="s">
        <v>38</v>
      </c>
      <c r="D211" t="s">
        <v>31</v>
      </c>
      <c r="E211" s="5">
        <v>45352</v>
      </c>
      <c r="F211">
        <v>34</v>
      </c>
      <c r="G211" t="s">
        <v>13</v>
      </c>
      <c r="H211" s="6"/>
    </row>
    <row r="212" spans="1:9" x14ac:dyDescent="0.3">
      <c r="A212" t="s">
        <v>445</v>
      </c>
      <c r="B212" t="s">
        <v>446</v>
      </c>
      <c r="C212" t="s">
        <v>41</v>
      </c>
      <c r="D212" t="s">
        <v>17</v>
      </c>
      <c r="E212" s="5">
        <v>45343</v>
      </c>
      <c r="F212">
        <v>11</v>
      </c>
      <c r="G212" t="s">
        <v>32</v>
      </c>
      <c r="H212" s="6"/>
    </row>
    <row r="213" spans="1:9" x14ac:dyDescent="0.3">
      <c r="A213" t="s">
        <v>447</v>
      </c>
      <c r="B213" t="s">
        <v>448</v>
      </c>
      <c r="C213" t="s">
        <v>52</v>
      </c>
      <c r="D213" t="s">
        <v>23</v>
      </c>
      <c r="E213" s="5">
        <v>45348</v>
      </c>
      <c r="F213">
        <v>21</v>
      </c>
      <c r="G213" t="s">
        <v>18</v>
      </c>
      <c r="H213" s="6">
        <v>45348</v>
      </c>
      <c r="I213">
        <v>3</v>
      </c>
    </row>
    <row r="214" spans="1:9" x14ac:dyDescent="0.3">
      <c r="A214" t="s">
        <v>449</v>
      </c>
      <c r="B214" t="s">
        <v>450</v>
      </c>
      <c r="C214" t="s">
        <v>78</v>
      </c>
      <c r="D214" t="s">
        <v>31</v>
      </c>
      <c r="E214" s="5">
        <v>45550</v>
      </c>
      <c r="F214">
        <v>12</v>
      </c>
      <c r="G214" t="s">
        <v>13</v>
      </c>
      <c r="H214" s="6"/>
    </row>
    <row r="215" spans="1:9" x14ac:dyDescent="0.3">
      <c r="A215" t="s">
        <v>451</v>
      </c>
      <c r="B215" t="s">
        <v>452</v>
      </c>
      <c r="C215" t="s">
        <v>16</v>
      </c>
      <c r="D215" t="s">
        <v>12</v>
      </c>
      <c r="E215" s="5">
        <v>45622</v>
      </c>
      <c r="F215">
        <v>12</v>
      </c>
      <c r="G215" t="s">
        <v>18</v>
      </c>
      <c r="H215" s="6">
        <v>45622</v>
      </c>
      <c r="I215">
        <v>4</v>
      </c>
    </row>
    <row r="216" spans="1:9" x14ac:dyDescent="0.3">
      <c r="A216" t="s">
        <v>453</v>
      </c>
      <c r="B216" t="s">
        <v>454</v>
      </c>
      <c r="C216" t="s">
        <v>52</v>
      </c>
      <c r="D216" t="s">
        <v>69</v>
      </c>
      <c r="E216" s="5">
        <v>45439</v>
      </c>
      <c r="F216">
        <v>18</v>
      </c>
      <c r="G216" t="s">
        <v>18</v>
      </c>
      <c r="H216" s="6">
        <v>45439</v>
      </c>
      <c r="I216">
        <v>5</v>
      </c>
    </row>
    <row r="217" spans="1:9" x14ac:dyDescent="0.3">
      <c r="A217" t="s">
        <v>455</v>
      </c>
      <c r="B217" t="s">
        <v>456</v>
      </c>
      <c r="C217" t="s">
        <v>41</v>
      </c>
      <c r="D217" t="s">
        <v>69</v>
      </c>
      <c r="E217" s="5">
        <v>45554</v>
      </c>
      <c r="F217">
        <v>7</v>
      </c>
      <c r="G217" t="s">
        <v>18</v>
      </c>
      <c r="H217" s="6">
        <v>45554</v>
      </c>
      <c r="I217">
        <v>4</v>
      </c>
    </row>
    <row r="218" spans="1:9" x14ac:dyDescent="0.3">
      <c r="A218" t="s">
        <v>457</v>
      </c>
      <c r="B218" t="s">
        <v>458</v>
      </c>
      <c r="C218" t="s">
        <v>52</v>
      </c>
      <c r="D218" t="s">
        <v>23</v>
      </c>
      <c r="E218" s="5">
        <v>45649</v>
      </c>
      <c r="F218">
        <v>12</v>
      </c>
      <c r="G218" t="s">
        <v>18</v>
      </c>
      <c r="H218" s="6">
        <v>45649</v>
      </c>
      <c r="I218">
        <v>4</v>
      </c>
    </row>
    <row r="219" spans="1:9" x14ac:dyDescent="0.3">
      <c r="A219" t="s">
        <v>459</v>
      </c>
      <c r="B219" t="s">
        <v>460</v>
      </c>
      <c r="C219" t="s">
        <v>35</v>
      </c>
      <c r="D219" t="s">
        <v>23</v>
      </c>
      <c r="E219" s="5">
        <v>45628</v>
      </c>
      <c r="F219">
        <v>23</v>
      </c>
      <c r="G219" t="s">
        <v>18</v>
      </c>
      <c r="H219" s="6">
        <v>45628</v>
      </c>
      <c r="I219">
        <v>3</v>
      </c>
    </row>
    <row r="220" spans="1:9" x14ac:dyDescent="0.3">
      <c r="A220" t="s">
        <v>461</v>
      </c>
      <c r="B220" t="s">
        <v>462</v>
      </c>
      <c r="C220" t="s">
        <v>38</v>
      </c>
      <c r="D220" t="s">
        <v>23</v>
      </c>
      <c r="E220" s="5">
        <v>45485</v>
      </c>
      <c r="F220">
        <v>32</v>
      </c>
      <c r="G220" t="s">
        <v>18</v>
      </c>
      <c r="H220" s="6">
        <v>45486</v>
      </c>
      <c r="I220">
        <v>2</v>
      </c>
    </row>
    <row r="221" spans="1:9" x14ac:dyDescent="0.3">
      <c r="A221" t="s">
        <v>463</v>
      </c>
      <c r="B221" t="s">
        <v>464</v>
      </c>
      <c r="C221" t="s">
        <v>38</v>
      </c>
      <c r="D221" t="s">
        <v>69</v>
      </c>
      <c r="E221" s="5">
        <v>45574</v>
      </c>
      <c r="F221">
        <v>21</v>
      </c>
      <c r="G221" t="s">
        <v>13</v>
      </c>
      <c r="H221" s="6"/>
    </row>
    <row r="222" spans="1:9" x14ac:dyDescent="0.3">
      <c r="A222" t="s">
        <v>465</v>
      </c>
      <c r="B222" t="s">
        <v>466</v>
      </c>
      <c r="C222" t="s">
        <v>35</v>
      </c>
      <c r="D222" t="s">
        <v>31</v>
      </c>
      <c r="E222" s="5">
        <v>45608</v>
      </c>
      <c r="F222">
        <v>30</v>
      </c>
      <c r="G222" t="s">
        <v>13</v>
      </c>
      <c r="H222" s="6"/>
    </row>
    <row r="223" spans="1:9" x14ac:dyDescent="0.3">
      <c r="A223" t="s">
        <v>467</v>
      </c>
      <c r="B223" t="s">
        <v>468</v>
      </c>
      <c r="C223" t="s">
        <v>41</v>
      </c>
      <c r="D223" t="s">
        <v>17</v>
      </c>
      <c r="E223" s="5">
        <v>45478</v>
      </c>
      <c r="F223">
        <v>7</v>
      </c>
      <c r="G223" t="s">
        <v>18</v>
      </c>
      <c r="H223" s="6">
        <v>45478</v>
      </c>
      <c r="I223">
        <v>4</v>
      </c>
    </row>
    <row r="224" spans="1:9" x14ac:dyDescent="0.3">
      <c r="A224" t="s">
        <v>469</v>
      </c>
      <c r="B224" t="s">
        <v>470</v>
      </c>
      <c r="C224" t="s">
        <v>11</v>
      </c>
      <c r="D224" t="s">
        <v>12</v>
      </c>
      <c r="E224" s="5">
        <v>45470</v>
      </c>
      <c r="F224">
        <v>27</v>
      </c>
      <c r="G224" t="s">
        <v>13</v>
      </c>
      <c r="H224" s="6"/>
    </row>
    <row r="225" spans="1:9" x14ac:dyDescent="0.3">
      <c r="A225" t="s">
        <v>471</v>
      </c>
      <c r="B225" t="s">
        <v>472</v>
      </c>
      <c r="C225" t="s">
        <v>11</v>
      </c>
      <c r="D225" t="s">
        <v>23</v>
      </c>
      <c r="E225" s="5">
        <v>45509</v>
      </c>
      <c r="F225">
        <v>24</v>
      </c>
      <c r="G225" t="s">
        <v>13</v>
      </c>
      <c r="H225" s="6"/>
    </row>
    <row r="226" spans="1:9" x14ac:dyDescent="0.3">
      <c r="A226" t="s">
        <v>473</v>
      </c>
      <c r="B226" t="s">
        <v>474</v>
      </c>
      <c r="C226" t="s">
        <v>11</v>
      </c>
      <c r="D226" t="s">
        <v>23</v>
      </c>
      <c r="E226" s="5">
        <v>45527</v>
      </c>
      <c r="F226">
        <v>23</v>
      </c>
      <c r="G226" t="s">
        <v>18</v>
      </c>
      <c r="H226" s="6">
        <v>45527</v>
      </c>
      <c r="I226">
        <v>3</v>
      </c>
    </row>
    <row r="227" spans="1:9" x14ac:dyDescent="0.3">
      <c r="A227" t="s">
        <v>475</v>
      </c>
      <c r="B227" t="s">
        <v>476</v>
      </c>
      <c r="C227" t="s">
        <v>35</v>
      </c>
      <c r="D227" t="s">
        <v>31</v>
      </c>
      <c r="E227" s="5">
        <v>45366</v>
      </c>
      <c r="F227">
        <v>67</v>
      </c>
      <c r="G227" t="s">
        <v>18</v>
      </c>
      <c r="H227" s="6">
        <v>45368</v>
      </c>
      <c r="I227">
        <v>1</v>
      </c>
    </row>
    <row r="228" spans="1:9" x14ac:dyDescent="0.3">
      <c r="A228" t="s">
        <v>477</v>
      </c>
      <c r="B228" t="s">
        <v>478</v>
      </c>
      <c r="C228" t="s">
        <v>78</v>
      </c>
      <c r="D228" t="s">
        <v>17</v>
      </c>
      <c r="E228" s="5">
        <v>45404</v>
      </c>
      <c r="F228">
        <v>3</v>
      </c>
      <c r="G228" t="s">
        <v>13</v>
      </c>
      <c r="H228" s="6"/>
    </row>
    <row r="229" spans="1:9" x14ac:dyDescent="0.3">
      <c r="A229" t="s">
        <v>479</v>
      </c>
      <c r="B229" t="s">
        <v>480</v>
      </c>
      <c r="C229" t="s">
        <v>41</v>
      </c>
      <c r="D229" t="s">
        <v>69</v>
      </c>
      <c r="E229" s="5">
        <v>45395</v>
      </c>
      <c r="F229">
        <v>6</v>
      </c>
      <c r="G229" t="s">
        <v>13</v>
      </c>
      <c r="H229" s="6"/>
    </row>
    <row r="230" spans="1:9" x14ac:dyDescent="0.3">
      <c r="A230" t="s">
        <v>481</v>
      </c>
      <c r="B230" t="s">
        <v>482</v>
      </c>
      <c r="C230" t="s">
        <v>35</v>
      </c>
      <c r="D230" t="s">
        <v>69</v>
      </c>
      <c r="E230" s="5">
        <v>45591</v>
      </c>
      <c r="F230">
        <v>20</v>
      </c>
      <c r="G230" t="s">
        <v>13</v>
      </c>
      <c r="H230" s="6"/>
    </row>
    <row r="231" spans="1:9" x14ac:dyDescent="0.3">
      <c r="A231" t="s">
        <v>483</v>
      </c>
      <c r="B231" t="s">
        <v>484</v>
      </c>
      <c r="C231" t="s">
        <v>35</v>
      </c>
      <c r="D231" t="s">
        <v>17</v>
      </c>
      <c r="E231" s="5">
        <v>45614</v>
      </c>
      <c r="F231">
        <v>31</v>
      </c>
      <c r="G231" t="s">
        <v>18</v>
      </c>
      <c r="H231" s="6">
        <v>45615</v>
      </c>
      <c r="I231">
        <v>2</v>
      </c>
    </row>
    <row r="232" spans="1:9" x14ac:dyDescent="0.3">
      <c r="A232" t="s">
        <v>485</v>
      </c>
      <c r="B232" t="s">
        <v>486</v>
      </c>
      <c r="C232" t="s">
        <v>28</v>
      </c>
      <c r="D232" t="s">
        <v>69</v>
      </c>
      <c r="E232" s="5">
        <v>45311</v>
      </c>
      <c r="F232">
        <v>48</v>
      </c>
      <c r="G232" t="s">
        <v>32</v>
      </c>
      <c r="H232" s="6"/>
    </row>
    <row r="233" spans="1:9" x14ac:dyDescent="0.3">
      <c r="A233" t="s">
        <v>487</v>
      </c>
      <c r="B233" t="s">
        <v>488</v>
      </c>
      <c r="C233" t="s">
        <v>11</v>
      </c>
      <c r="D233" t="s">
        <v>69</v>
      </c>
      <c r="E233" s="5">
        <v>45347</v>
      </c>
      <c r="F233">
        <v>10</v>
      </c>
      <c r="G233" t="s">
        <v>32</v>
      </c>
      <c r="H233" s="6"/>
    </row>
    <row r="234" spans="1:9" x14ac:dyDescent="0.3">
      <c r="A234" t="s">
        <v>489</v>
      </c>
      <c r="B234" t="s">
        <v>490</v>
      </c>
      <c r="C234" t="s">
        <v>28</v>
      </c>
      <c r="D234" t="s">
        <v>12</v>
      </c>
      <c r="E234" s="5">
        <v>45331</v>
      </c>
      <c r="F234">
        <v>95</v>
      </c>
      <c r="G234" t="s">
        <v>18</v>
      </c>
      <c r="H234" s="6">
        <v>45334</v>
      </c>
      <c r="I234">
        <v>1</v>
      </c>
    </row>
    <row r="235" spans="1:9" x14ac:dyDescent="0.3">
      <c r="A235" t="s">
        <v>491</v>
      </c>
      <c r="B235" t="s">
        <v>492</v>
      </c>
      <c r="C235" t="s">
        <v>11</v>
      </c>
      <c r="D235" t="s">
        <v>23</v>
      </c>
      <c r="E235" s="5">
        <v>45517</v>
      </c>
      <c r="F235">
        <v>48</v>
      </c>
      <c r="G235" t="s">
        <v>18</v>
      </c>
      <c r="H235" s="6">
        <v>45519</v>
      </c>
      <c r="I235">
        <v>5</v>
      </c>
    </row>
    <row r="236" spans="1:9" x14ac:dyDescent="0.3">
      <c r="A236" t="s">
        <v>493</v>
      </c>
      <c r="B236" t="s">
        <v>494</v>
      </c>
      <c r="C236" t="s">
        <v>11</v>
      </c>
      <c r="D236" t="s">
        <v>12</v>
      </c>
      <c r="E236" s="5">
        <v>45571</v>
      </c>
      <c r="F236">
        <v>43</v>
      </c>
      <c r="G236" t="s">
        <v>18</v>
      </c>
      <c r="H236" s="6">
        <v>45572</v>
      </c>
      <c r="I236">
        <v>5</v>
      </c>
    </row>
    <row r="237" spans="1:9" x14ac:dyDescent="0.3">
      <c r="A237" t="s">
        <v>495</v>
      </c>
      <c r="B237" t="s">
        <v>496</v>
      </c>
      <c r="C237" t="s">
        <v>35</v>
      </c>
      <c r="D237" t="s">
        <v>69</v>
      </c>
      <c r="E237" s="5">
        <v>45357</v>
      </c>
      <c r="F237">
        <v>28</v>
      </c>
      <c r="G237" t="s">
        <v>13</v>
      </c>
      <c r="H237" s="6"/>
    </row>
    <row r="238" spans="1:9" x14ac:dyDescent="0.3">
      <c r="A238" t="s">
        <v>497</v>
      </c>
      <c r="B238" t="s">
        <v>498</v>
      </c>
      <c r="C238" t="s">
        <v>28</v>
      </c>
      <c r="D238" t="s">
        <v>31</v>
      </c>
      <c r="E238" s="5">
        <v>45619</v>
      </c>
      <c r="F238">
        <v>79</v>
      </c>
      <c r="G238" t="s">
        <v>18</v>
      </c>
      <c r="H238" s="6">
        <v>45622</v>
      </c>
      <c r="I238">
        <v>1</v>
      </c>
    </row>
    <row r="239" spans="1:9" x14ac:dyDescent="0.3">
      <c r="A239" t="s">
        <v>499</v>
      </c>
      <c r="B239" t="s">
        <v>500</v>
      </c>
      <c r="C239" t="s">
        <v>41</v>
      </c>
      <c r="D239" t="s">
        <v>23</v>
      </c>
      <c r="E239" s="5">
        <v>45313</v>
      </c>
      <c r="F239">
        <v>2</v>
      </c>
      <c r="G239" t="s">
        <v>32</v>
      </c>
      <c r="H239" s="6"/>
    </row>
    <row r="240" spans="1:9" x14ac:dyDescent="0.3">
      <c r="A240" t="s">
        <v>501</v>
      </c>
      <c r="B240" t="s">
        <v>502</v>
      </c>
      <c r="C240" t="s">
        <v>11</v>
      </c>
      <c r="D240" t="s">
        <v>17</v>
      </c>
      <c r="E240" s="5">
        <v>45513</v>
      </c>
      <c r="F240">
        <v>34</v>
      </c>
      <c r="G240" t="s">
        <v>18</v>
      </c>
      <c r="H240" s="6">
        <v>45514</v>
      </c>
      <c r="I240">
        <v>2</v>
      </c>
    </row>
    <row r="241" spans="1:9" x14ac:dyDescent="0.3">
      <c r="A241" t="s">
        <v>503</v>
      </c>
      <c r="B241" t="s">
        <v>504</v>
      </c>
      <c r="C241" t="s">
        <v>35</v>
      </c>
      <c r="D241" t="s">
        <v>31</v>
      </c>
      <c r="E241" s="5">
        <v>45526</v>
      </c>
      <c r="F241">
        <v>30</v>
      </c>
      <c r="G241" t="s">
        <v>18</v>
      </c>
      <c r="H241" s="6">
        <v>45527</v>
      </c>
      <c r="I241">
        <v>2</v>
      </c>
    </row>
    <row r="242" spans="1:9" x14ac:dyDescent="0.3">
      <c r="A242" t="s">
        <v>505</v>
      </c>
      <c r="B242" t="s">
        <v>506</v>
      </c>
      <c r="C242" t="s">
        <v>35</v>
      </c>
      <c r="D242" t="s">
        <v>17</v>
      </c>
      <c r="E242" s="5">
        <v>45479</v>
      </c>
      <c r="F242">
        <v>62</v>
      </c>
      <c r="G242" t="s">
        <v>32</v>
      </c>
      <c r="H242" s="6"/>
    </row>
    <row r="243" spans="1:9" x14ac:dyDescent="0.3">
      <c r="A243" t="s">
        <v>507</v>
      </c>
      <c r="B243" t="s">
        <v>508</v>
      </c>
      <c r="C243" t="s">
        <v>16</v>
      </c>
      <c r="D243" t="s">
        <v>23</v>
      </c>
      <c r="E243" s="5">
        <v>45361</v>
      </c>
      <c r="F243">
        <v>20</v>
      </c>
      <c r="G243" t="s">
        <v>18</v>
      </c>
      <c r="H243" s="6">
        <v>45361</v>
      </c>
      <c r="I243">
        <v>3</v>
      </c>
    </row>
    <row r="244" spans="1:9" x14ac:dyDescent="0.3">
      <c r="A244" t="s">
        <v>509</v>
      </c>
      <c r="B244" t="s">
        <v>510</v>
      </c>
      <c r="C244" t="s">
        <v>11</v>
      </c>
      <c r="D244" t="s">
        <v>23</v>
      </c>
      <c r="E244" s="5">
        <v>45369</v>
      </c>
      <c r="F244">
        <v>27</v>
      </c>
      <c r="G244" t="s">
        <v>32</v>
      </c>
      <c r="H244" s="6"/>
    </row>
    <row r="245" spans="1:9" x14ac:dyDescent="0.3">
      <c r="A245" t="s">
        <v>511</v>
      </c>
      <c r="B245" t="s">
        <v>512</v>
      </c>
      <c r="C245" t="s">
        <v>52</v>
      </c>
      <c r="D245" t="s">
        <v>69</v>
      </c>
      <c r="E245" s="5">
        <v>45545</v>
      </c>
      <c r="F245">
        <v>7</v>
      </c>
      <c r="G245" t="s">
        <v>18</v>
      </c>
      <c r="H245" s="6">
        <v>45545</v>
      </c>
      <c r="I245">
        <v>4</v>
      </c>
    </row>
    <row r="246" spans="1:9" x14ac:dyDescent="0.3">
      <c r="A246" t="s">
        <v>513</v>
      </c>
      <c r="B246" t="s">
        <v>514</v>
      </c>
      <c r="C246" t="s">
        <v>16</v>
      </c>
      <c r="D246" t="s">
        <v>12</v>
      </c>
      <c r="E246" s="5">
        <v>45460</v>
      </c>
      <c r="F246">
        <v>10</v>
      </c>
      <c r="G246" t="s">
        <v>18</v>
      </c>
      <c r="H246" s="6">
        <v>45460</v>
      </c>
      <c r="I246">
        <v>4</v>
      </c>
    </row>
    <row r="247" spans="1:9" x14ac:dyDescent="0.3">
      <c r="A247" t="s">
        <v>515</v>
      </c>
      <c r="B247" t="s">
        <v>516</v>
      </c>
      <c r="C247" t="s">
        <v>41</v>
      </c>
      <c r="D247" t="s">
        <v>12</v>
      </c>
      <c r="E247" s="5">
        <v>45612</v>
      </c>
      <c r="F247">
        <v>6</v>
      </c>
      <c r="G247" t="s">
        <v>18</v>
      </c>
      <c r="H247" s="6">
        <v>45612</v>
      </c>
      <c r="I247">
        <v>5</v>
      </c>
    </row>
    <row r="248" spans="1:9" x14ac:dyDescent="0.3">
      <c r="A248" t="s">
        <v>517</v>
      </c>
      <c r="B248" t="s">
        <v>518</v>
      </c>
      <c r="C248" t="s">
        <v>35</v>
      </c>
      <c r="D248" t="s">
        <v>12</v>
      </c>
      <c r="E248" s="5">
        <v>45567</v>
      </c>
      <c r="F248">
        <v>17</v>
      </c>
      <c r="G248" t="s">
        <v>18</v>
      </c>
      <c r="H248" s="6">
        <v>45567</v>
      </c>
      <c r="I248">
        <v>3</v>
      </c>
    </row>
    <row r="249" spans="1:9" x14ac:dyDescent="0.3">
      <c r="A249" t="s">
        <v>519</v>
      </c>
      <c r="B249" t="s">
        <v>520</v>
      </c>
      <c r="C249" t="s">
        <v>28</v>
      </c>
      <c r="D249" t="s">
        <v>23</v>
      </c>
      <c r="E249" s="5">
        <v>45582</v>
      </c>
      <c r="F249">
        <v>93</v>
      </c>
      <c r="G249" t="s">
        <v>18</v>
      </c>
      <c r="H249" s="6">
        <v>45585</v>
      </c>
      <c r="I249">
        <v>1</v>
      </c>
    </row>
    <row r="250" spans="1:9" x14ac:dyDescent="0.3">
      <c r="A250" t="s">
        <v>521</v>
      </c>
      <c r="B250" t="s">
        <v>522</v>
      </c>
      <c r="C250" t="s">
        <v>38</v>
      </c>
      <c r="D250" t="s">
        <v>17</v>
      </c>
      <c r="E250" s="5">
        <v>45510</v>
      </c>
      <c r="F250">
        <v>71</v>
      </c>
      <c r="G250" t="s">
        <v>18</v>
      </c>
      <c r="H250" s="6">
        <v>45512</v>
      </c>
      <c r="I250">
        <v>5</v>
      </c>
    </row>
    <row r="251" spans="1:9" x14ac:dyDescent="0.3">
      <c r="A251" t="s">
        <v>523</v>
      </c>
      <c r="B251" t="s">
        <v>524</v>
      </c>
      <c r="C251" t="s">
        <v>52</v>
      </c>
      <c r="D251" t="s">
        <v>23</v>
      </c>
      <c r="E251" s="5">
        <v>45470</v>
      </c>
      <c r="F251">
        <v>21</v>
      </c>
      <c r="G251" t="s">
        <v>18</v>
      </c>
      <c r="H251" s="6">
        <v>45470</v>
      </c>
      <c r="I251">
        <v>5</v>
      </c>
    </row>
    <row r="252" spans="1:9" x14ac:dyDescent="0.3">
      <c r="A252" t="s">
        <v>525</v>
      </c>
      <c r="B252" t="s">
        <v>526</v>
      </c>
      <c r="C252" t="s">
        <v>52</v>
      </c>
      <c r="D252" t="s">
        <v>17</v>
      </c>
      <c r="E252" s="5">
        <v>45345</v>
      </c>
      <c r="F252">
        <v>3</v>
      </c>
      <c r="G252" t="s">
        <v>18</v>
      </c>
      <c r="H252" s="6">
        <v>45345</v>
      </c>
      <c r="I252">
        <v>5</v>
      </c>
    </row>
    <row r="253" spans="1:9" x14ac:dyDescent="0.3">
      <c r="A253" t="s">
        <v>527</v>
      </c>
      <c r="B253" t="s">
        <v>528</v>
      </c>
      <c r="C253" t="s">
        <v>28</v>
      </c>
      <c r="D253" t="s">
        <v>31</v>
      </c>
      <c r="E253" s="5">
        <v>45567</v>
      </c>
      <c r="F253">
        <v>56</v>
      </c>
      <c r="G253" t="s">
        <v>18</v>
      </c>
      <c r="H253" s="6">
        <v>45569</v>
      </c>
      <c r="I253">
        <v>1</v>
      </c>
    </row>
    <row r="254" spans="1:9" x14ac:dyDescent="0.3">
      <c r="A254" t="s">
        <v>529</v>
      </c>
      <c r="B254" t="s">
        <v>530</v>
      </c>
      <c r="C254" t="s">
        <v>11</v>
      </c>
      <c r="D254" t="s">
        <v>23</v>
      </c>
      <c r="E254" s="5">
        <v>45477</v>
      </c>
      <c r="F254">
        <v>26</v>
      </c>
      <c r="G254" t="s">
        <v>18</v>
      </c>
      <c r="H254" s="6">
        <v>45478</v>
      </c>
      <c r="I254">
        <v>2</v>
      </c>
    </row>
    <row r="255" spans="1:9" x14ac:dyDescent="0.3">
      <c r="A255" t="s">
        <v>531</v>
      </c>
      <c r="B255" t="s">
        <v>532</v>
      </c>
      <c r="C255" t="s">
        <v>16</v>
      </c>
      <c r="D255" t="s">
        <v>69</v>
      </c>
      <c r="E255" s="5">
        <v>45400</v>
      </c>
      <c r="F255">
        <v>8</v>
      </c>
      <c r="G255" t="s">
        <v>13</v>
      </c>
      <c r="H255" s="6"/>
    </row>
    <row r="256" spans="1:9" x14ac:dyDescent="0.3">
      <c r="A256" t="s">
        <v>533</v>
      </c>
      <c r="B256" t="s">
        <v>534</v>
      </c>
      <c r="C256" t="s">
        <v>11</v>
      </c>
      <c r="D256" t="s">
        <v>12</v>
      </c>
      <c r="E256" s="5">
        <v>45520</v>
      </c>
      <c r="F256">
        <v>10</v>
      </c>
      <c r="G256" t="s">
        <v>32</v>
      </c>
      <c r="H256" s="6"/>
    </row>
    <row r="257" spans="1:9" x14ac:dyDescent="0.3">
      <c r="A257" t="s">
        <v>535</v>
      </c>
      <c r="B257" t="s">
        <v>536</v>
      </c>
      <c r="C257" t="s">
        <v>11</v>
      </c>
      <c r="D257" t="s">
        <v>23</v>
      </c>
      <c r="E257" s="5">
        <v>45372</v>
      </c>
      <c r="F257">
        <v>16</v>
      </c>
      <c r="G257" t="s">
        <v>18</v>
      </c>
      <c r="H257" s="6">
        <v>45372</v>
      </c>
      <c r="I257">
        <v>3</v>
      </c>
    </row>
    <row r="258" spans="1:9" x14ac:dyDescent="0.3">
      <c r="A258" t="s">
        <v>537</v>
      </c>
      <c r="B258" t="s">
        <v>538</v>
      </c>
      <c r="C258" t="s">
        <v>52</v>
      </c>
      <c r="D258" t="s">
        <v>17</v>
      </c>
      <c r="E258" s="5">
        <v>45340</v>
      </c>
      <c r="F258">
        <v>15</v>
      </c>
      <c r="G258" t="s">
        <v>18</v>
      </c>
      <c r="H258" s="6">
        <v>45340</v>
      </c>
      <c r="I258">
        <v>3</v>
      </c>
    </row>
    <row r="259" spans="1:9" x14ac:dyDescent="0.3">
      <c r="A259" t="s">
        <v>539</v>
      </c>
      <c r="B259" t="s">
        <v>540</v>
      </c>
      <c r="C259" t="s">
        <v>16</v>
      </c>
      <c r="D259" t="s">
        <v>31</v>
      </c>
      <c r="E259" s="5">
        <v>45487</v>
      </c>
      <c r="F259">
        <v>34</v>
      </c>
      <c r="G259" t="s">
        <v>18</v>
      </c>
      <c r="H259" s="6">
        <v>45488</v>
      </c>
      <c r="I259">
        <v>2</v>
      </c>
    </row>
    <row r="260" spans="1:9" x14ac:dyDescent="0.3">
      <c r="A260" t="s">
        <v>541</v>
      </c>
      <c r="B260" t="s">
        <v>542</v>
      </c>
      <c r="C260" t="s">
        <v>35</v>
      </c>
      <c r="D260" t="s">
        <v>17</v>
      </c>
      <c r="E260" s="5">
        <v>45486</v>
      </c>
      <c r="F260">
        <v>30</v>
      </c>
      <c r="G260" t="s">
        <v>32</v>
      </c>
      <c r="H260" s="6"/>
    </row>
    <row r="261" spans="1:9" x14ac:dyDescent="0.3">
      <c r="A261" t="s">
        <v>543</v>
      </c>
      <c r="B261" t="s">
        <v>544</v>
      </c>
      <c r="C261" t="s">
        <v>16</v>
      </c>
      <c r="D261" t="s">
        <v>23</v>
      </c>
      <c r="E261" s="5">
        <v>45521</v>
      </c>
      <c r="F261">
        <v>10</v>
      </c>
      <c r="G261" t="s">
        <v>18</v>
      </c>
      <c r="H261" s="6">
        <v>45521</v>
      </c>
      <c r="I261">
        <v>4</v>
      </c>
    </row>
    <row r="262" spans="1:9" x14ac:dyDescent="0.3">
      <c r="A262" t="s">
        <v>545</v>
      </c>
      <c r="B262" t="s">
        <v>546</v>
      </c>
      <c r="C262" t="s">
        <v>35</v>
      </c>
      <c r="D262" t="s">
        <v>17</v>
      </c>
      <c r="E262" s="5">
        <v>45558</v>
      </c>
      <c r="F262">
        <v>20</v>
      </c>
      <c r="G262" t="s">
        <v>18</v>
      </c>
      <c r="H262" s="6">
        <v>45558</v>
      </c>
      <c r="I262">
        <v>3</v>
      </c>
    </row>
    <row r="263" spans="1:9" x14ac:dyDescent="0.3">
      <c r="A263" t="s">
        <v>547</v>
      </c>
      <c r="B263" t="s">
        <v>548</v>
      </c>
      <c r="C263" t="s">
        <v>16</v>
      </c>
      <c r="D263" t="s">
        <v>23</v>
      </c>
      <c r="E263" s="5">
        <v>45577</v>
      </c>
      <c r="F263">
        <v>27</v>
      </c>
      <c r="G263" t="s">
        <v>18</v>
      </c>
      <c r="H263" s="6">
        <v>45578</v>
      </c>
      <c r="I263">
        <v>2</v>
      </c>
    </row>
    <row r="264" spans="1:9" x14ac:dyDescent="0.3">
      <c r="A264" t="s">
        <v>549</v>
      </c>
      <c r="B264" t="s">
        <v>550</v>
      </c>
      <c r="C264" t="s">
        <v>16</v>
      </c>
      <c r="D264" t="s">
        <v>69</v>
      </c>
      <c r="E264" s="5">
        <v>45317</v>
      </c>
      <c r="F264">
        <v>12</v>
      </c>
      <c r="G264" t="s">
        <v>18</v>
      </c>
      <c r="H264" s="6">
        <v>45317</v>
      </c>
      <c r="I264">
        <v>4</v>
      </c>
    </row>
    <row r="265" spans="1:9" x14ac:dyDescent="0.3">
      <c r="A265" t="s">
        <v>551</v>
      </c>
      <c r="B265" t="s">
        <v>552</v>
      </c>
      <c r="C265" t="s">
        <v>38</v>
      </c>
      <c r="D265" t="s">
        <v>12</v>
      </c>
      <c r="E265" s="5">
        <v>45458</v>
      </c>
      <c r="F265">
        <v>51</v>
      </c>
      <c r="G265" t="s">
        <v>13</v>
      </c>
      <c r="H265" s="6"/>
    </row>
    <row r="266" spans="1:9" x14ac:dyDescent="0.3">
      <c r="A266" t="s">
        <v>553</v>
      </c>
      <c r="B266" t="s">
        <v>554</v>
      </c>
      <c r="C266" t="s">
        <v>16</v>
      </c>
      <c r="D266" t="s">
        <v>31</v>
      </c>
      <c r="E266" s="5">
        <v>45487</v>
      </c>
      <c r="F266">
        <v>5</v>
      </c>
      <c r="G266" t="s">
        <v>13</v>
      </c>
      <c r="H266" s="6"/>
    </row>
    <row r="267" spans="1:9" x14ac:dyDescent="0.3">
      <c r="A267" t="s">
        <v>555</v>
      </c>
      <c r="B267" t="s">
        <v>556</v>
      </c>
      <c r="C267" t="s">
        <v>41</v>
      </c>
      <c r="D267" t="s">
        <v>31</v>
      </c>
      <c r="E267" s="5">
        <v>45411</v>
      </c>
      <c r="F267">
        <v>10</v>
      </c>
      <c r="G267" t="s">
        <v>13</v>
      </c>
      <c r="H267" s="6"/>
    </row>
    <row r="268" spans="1:9" x14ac:dyDescent="0.3">
      <c r="A268" t="s">
        <v>557</v>
      </c>
      <c r="B268" t="s">
        <v>558</v>
      </c>
      <c r="C268" t="s">
        <v>52</v>
      </c>
      <c r="D268" t="s">
        <v>17</v>
      </c>
      <c r="E268" s="5">
        <v>45485</v>
      </c>
      <c r="F268">
        <v>18</v>
      </c>
      <c r="G268" t="s">
        <v>18</v>
      </c>
      <c r="H268" s="6">
        <v>45485</v>
      </c>
      <c r="I268">
        <v>3</v>
      </c>
    </row>
    <row r="269" spans="1:9" x14ac:dyDescent="0.3">
      <c r="A269" t="s">
        <v>559</v>
      </c>
      <c r="B269" t="s">
        <v>560</v>
      </c>
      <c r="C269" t="s">
        <v>41</v>
      </c>
      <c r="D269" t="s">
        <v>17</v>
      </c>
      <c r="E269" s="5">
        <v>45427</v>
      </c>
      <c r="F269">
        <v>12</v>
      </c>
      <c r="G269" t="s">
        <v>32</v>
      </c>
      <c r="H269" s="6"/>
    </row>
    <row r="270" spans="1:9" x14ac:dyDescent="0.3">
      <c r="A270" t="s">
        <v>561</v>
      </c>
      <c r="B270" t="s">
        <v>562</v>
      </c>
      <c r="C270" t="s">
        <v>28</v>
      </c>
      <c r="D270" t="s">
        <v>69</v>
      </c>
      <c r="E270" s="5">
        <v>45599</v>
      </c>
      <c r="F270">
        <v>58</v>
      </c>
      <c r="G270" t="s">
        <v>13</v>
      </c>
      <c r="H270" s="6"/>
    </row>
    <row r="271" spans="1:9" x14ac:dyDescent="0.3">
      <c r="A271" t="s">
        <v>563</v>
      </c>
      <c r="B271" t="s">
        <v>564</v>
      </c>
      <c r="C271" t="s">
        <v>52</v>
      </c>
      <c r="D271" t="s">
        <v>31</v>
      </c>
      <c r="E271" s="5">
        <v>45299</v>
      </c>
      <c r="F271">
        <v>10</v>
      </c>
      <c r="G271" t="s">
        <v>18</v>
      </c>
      <c r="H271" s="6">
        <v>45299</v>
      </c>
      <c r="I271">
        <v>4</v>
      </c>
    </row>
    <row r="272" spans="1:9" x14ac:dyDescent="0.3">
      <c r="A272" t="s">
        <v>565</v>
      </c>
      <c r="B272" t="s">
        <v>566</v>
      </c>
      <c r="C272" t="s">
        <v>16</v>
      </c>
      <c r="D272" t="s">
        <v>31</v>
      </c>
      <c r="E272" s="5">
        <v>45569</v>
      </c>
      <c r="F272">
        <v>12</v>
      </c>
      <c r="G272" t="s">
        <v>18</v>
      </c>
      <c r="H272" s="6">
        <v>45569</v>
      </c>
      <c r="I272">
        <v>4</v>
      </c>
    </row>
    <row r="273" spans="1:9" x14ac:dyDescent="0.3">
      <c r="A273" t="s">
        <v>567</v>
      </c>
      <c r="B273" t="s">
        <v>568</v>
      </c>
      <c r="C273" t="s">
        <v>52</v>
      </c>
      <c r="D273" t="s">
        <v>17</v>
      </c>
      <c r="E273" s="5">
        <v>45487</v>
      </c>
      <c r="F273">
        <v>21</v>
      </c>
      <c r="G273" t="s">
        <v>18</v>
      </c>
      <c r="H273" s="6">
        <v>45487</v>
      </c>
      <c r="I273">
        <v>5</v>
      </c>
    </row>
    <row r="274" spans="1:9" x14ac:dyDescent="0.3">
      <c r="A274" t="s">
        <v>569</v>
      </c>
      <c r="B274" t="s">
        <v>570</v>
      </c>
      <c r="C274" t="s">
        <v>78</v>
      </c>
      <c r="D274" t="s">
        <v>69</v>
      </c>
      <c r="E274" s="5">
        <v>45651</v>
      </c>
      <c r="F274">
        <v>13</v>
      </c>
      <c r="G274" t="s">
        <v>18</v>
      </c>
      <c r="H274" s="6">
        <v>45651</v>
      </c>
      <c r="I274">
        <v>3</v>
      </c>
    </row>
    <row r="275" spans="1:9" x14ac:dyDescent="0.3">
      <c r="A275" t="s">
        <v>571</v>
      </c>
      <c r="B275" t="s">
        <v>572</v>
      </c>
      <c r="C275" t="s">
        <v>78</v>
      </c>
      <c r="D275" t="s">
        <v>69</v>
      </c>
      <c r="E275" s="5">
        <v>45299</v>
      </c>
      <c r="F275">
        <v>15</v>
      </c>
      <c r="G275" t="s">
        <v>18</v>
      </c>
      <c r="H275" s="6">
        <v>45299</v>
      </c>
      <c r="I275">
        <v>3</v>
      </c>
    </row>
    <row r="276" spans="1:9" x14ac:dyDescent="0.3">
      <c r="A276" t="s">
        <v>573</v>
      </c>
      <c r="B276" t="s">
        <v>574</v>
      </c>
      <c r="C276" t="s">
        <v>11</v>
      </c>
      <c r="D276" t="s">
        <v>12</v>
      </c>
      <c r="E276" s="5">
        <v>45443</v>
      </c>
      <c r="F276">
        <v>9</v>
      </c>
      <c r="G276" t="s">
        <v>18</v>
      </c>
      <c r="H276" s="6">
        <v>45443</v>
      </c>
      <c r="I276">
        <v>4</v>
      </c>
    </row>
    <row r="277" spans="1:9" x14ac:dyDescent="0.3">
      <c r="A277" t="s">
        <v>575</v>
      </c>
      <c r="B277" t="s">
        <v>576</v>
      </c>
      <c r="C277" t="s">
        <v>38</v>
      </c>
      <c r="D277" t="s">
        <v>31</v>
      </c>
      <c r="E277" s="5">
        <v>45547</v>
      </c>
      <c r="F277">
        <v>26</v>
      </c>
      <c r="G277" t="s">
        <v>18</v>
      </c>
      <c r="H277" s="6">
        <v>45548</v>
      </c>
      <c r="I277">
        <v>2</v>
      </c>
    </row>
    <row r="278" spans="1:9" x14ac:dyDescent="0.3">
      <c r="A278" t="s">
        <v>577</v>
      </c>
      <c r="B278" t="s">
        <v>578</v>
      </c>
      <c r="C278" t="s">
        <v>78</v>
      </c>
      <c r="D278" t="s">
        <v>12</v>
      </c>
      <c r="E278" s="5">
        <v>45420</v>
      </c>
      <c r="F278">
        <v>14</v>
      </c>
      <c r="G278" t="s">
        <v>32</v>
      </c>
      <c r="H278" s="6"/>
    </row>
    <row r="279" spans="1:9" x14ac:dyDescent="0.3">
      <c r="A279" t="s">
        <v>579</v>
      </c>
      <c r="B279" t="s">
        <v>580</v>
      </c>
      <c r="C279" t="s">
        <v>16</v>
      </c>
      <c r="D279" t="s">
        <v>23</v>
      </c>
      <c r="E279" s="5">
        <v>45484</v>
      </c>
      <c r="F279">
        <v>13</v>
      </c>
      <c r="G279" t="s">
        <v>13</v>
      </c>
      <c r="H279" s="6"/>
    </row>
    <row r="280" spans="1:9" x14ac:dyDescent="0.3">
      <c r="A280" t="s">
        <v>581</v>
      </c>
      <c r="B280" t="s">
        <v>582</v>
      </c>
      <c r="C280" t="s">
        <v>38</v>
      </c>
      <c r="D280" t="s">
        <v>23</v>
      </c>
      <c r="E280" s="5">
        <v>45418</v>
      </c>
      <c r="F280">
        <v>20</v>
      </c>
      <c r="G280" t="s">
        <v>18</v>
      </c>
      <c r="H280" s="6">
        <v>45418</v>
      </c>
      <c r="I280">
        <v>3</v>
      </c>
    </row>
    <row r="281" spans="1:9" x14ac:dyDescent="0.3">
      <c r="A281" t="s">
        <v>583</v>
      </c>
      <c r="B281" t="s">
        <v>584</v>
      </c>
      <c r="C281" t="s">
        <v>11</v>
      </c>
      <c r="D281" t="s">
        <v>23</v>
      </c>
      <c r="E281" s="5">
        <v>45333</v>
      </c>
      <c r="F281">
        <v>44</v>
      </c>
      <c r="G281" t="s">
        <v>13</v>
      </c>
      <c r="H281" s="6"/>
    </row>
    <row r="282" spans="1:9" x14ac:dyDescent="0.3">
      <c r="A282" t="s">
        <v>585</v>
      </c>
      <c r="B282" t="s">
        <v>586</v>
      </c>
      <c r="C282" t="s">
        <v>41</v>
      </c>
      <c r="D282" t="s">
        <v>12</v>
      </c>
      <c r="E282" s="5">
        <v>45612</v>
      </c>
      <c r="F282">
        <v>11</v>
      </c>
      <c r="G282" t="s">
        <v>18</v>
      </c>
      <c r="H282" s="6">
        <v>45612</v>
      </c>
      <c r="I282">
        <v>4</v>
      </c>
    </row>
    <row r="283" spans="1:9" x14ac:dyDescent="0.3">
      <c r="A283" t="s">
        <v>587</v>
      </c>
      <c r="B283" t="s">
        <v>588</v>
      </c>
      <c r="C283" t="s">
        <v>78</v>
      </c>
      <c r="D283" t="s">
        <v>12</v>
      </c>
      <c r="E283" s="5">
        <v>45325</v>
      </c>
      <c r="F283">
        <v>15</v>
      </c>
      <c r="G283" t="s">
        <v>18</v>
      </c>
      <c r="H283" s="6">
        <v>45325</v>
      </c>
      <c r="I283">
        <v>3</v>
      </c>
    </row>
    <row r="284" spans="1:9" x14ac:dyDescent="0.3">
      <c r="A284" t="s">
        <v>589</v>
      </c>
      <c r="B284" t="s">
        <v>590</v>
      </c>
      <c r="C284" t="s">
        <v>28</v>
      </c>
      <c r="D284" t="s">
        <v>69</v>
      </c>
      <c r="E284" s="5">
        <v>45563</v>
      </c>
      <c r="F284">
        <v>82</v>
      </c>
      <c r="G284" t="s">
        <v>18</v>
      </c>
      <c r="H284" s="6">
        <v>45566</v>
      </c>
      <c r="I284">
        <v>1</v>
      </c>
    </row>
    <row r="285" spans="1:9" x14ac:dyDescent="0.3">
      <c r="A285" t="s">
        <v>591</v>
      </c>
      <c r="B285" t="s">
        <v>592</v>
      </c>
      <c r="C285" t="s">
        <v>38</v>
      </c>
      <c r="D285" t="s">
        <v>12</v>
      </c>
      <c r="E285" s="5">
        <v>45419</v>
      </c>
      <c r="F285">
        <v>67</v>
      </c>
      <c r="G285" t="s">
        <v>18</v>
      </c>
      <c r="H285" s="6">
        <v>45421</v>
      </c>
      <c r="I285">
        <v>1</v>
      </c>
    </row>
    <row r="286" spans="1:9" x14ac:dyDescent="0.3">
      <c r="A286" t="s">
        <v>593</v>
      </c>
      <c r="B286" t="s">
        <v>594</v>
      </c>
      <c r="C286" t="s">
        <v>16</v>
      </c>
      <c r="D286" t="s">
        <v>31</v>
      </c>
      <c r="E286" s="5">
        <v>45298</v>
      </c>
      <c r="F286">
        <v>30</v>
      </c>
      <c r="G286" t="s">
        <v>18</v>
      </c>
      <c r="H286" s="6">
        <v>45299</v>
      </c>
      <c r="I286">
        <v>2</v>
      </c>
    </row>
    <row r="287" spans="1:9" x14ac:dyDescent="0.3">
      <c r="A287" t="s">
        <v>595</v>
      </c>
      <c r="B287" t="s">
        <v>596</v>
      </c>
      <c r="C287" t="s">
        <v>41</v>
      </c>
      <c r="D287" t="s">
        <v>23</v>
      </c>
      <c r="E287" s="5">
        <v>45334</v>
      </c>
      <c r="F287">
        <v>1</v>
      </c>
      <c r="G287" t="s">
        <v>18</v>
      </c>
      <c r="H287" s="6">
        <v>45334</v>
      </c>
      <c r="I287">
        <v>5</v>
      </c>
    </row>
    <row r="288" spans="1:9" x14ac:dyDescent="0.3">
      <c r="A288" t="s">
        <v>597</v>
      </c>
      <c r="B288" t="s">
        <v>598</v>
      </c>
      <c r="C288" t="s">
        <v>78</v>
      </c>
      <c r="D288" t="s">
        <v>69</v>
      </c>
      <c r="E288" s="5">
        <v>45381</v>
      </c>
      <c r="F288">
        <v>23</v>
      </c>
      <c r="G288" t="s">
        <v>13</v>
      </c>
      <c r="H288" s="6"/>
    </row>
    <row r="289" spans="1:9" x14ac:dyDescent="0.3">
      <c r="A289" t="s">
        <v>599</v>
      </c>
      <c r="B289" t="s">
        <v>600</v>
      </c>
      <c r="C289" t="s">
        <v>28</v>
      </c>
      <c r="D289" t="s">
        <v>31</v>
      </c>
      <c r="E289" s="5">
        <v>45508</v>
      </c>
      <c r="F289">
        <v>52</v>
      </c>
      <c r="G289" t="s">
        <v>18</v>
      </c>
      <c r="H289" s="6">
        <v>45510</v>
      </c>
      <c r="I289">
        <v>1</v>
      </c>
    </row>
    <row r="290" spans="1:9" x14ac:dyDescent="0.3">
      <c r="A290" t="s">
        <v>601</v>
      </c>
      <c r="B290" t="s">
        <v>602</v>
      </c>
      <c r="C290" t="s">
        <v>28</v>
      </c>
      <c r="D290" t="s">
        <v>17</v>
      </c>
      <c r="E290" s="5">
        <v>45471</v>
      </c>
      <c r="F290">
        <v>65</v>
      </c>
      <c r="G290" t="s">
        <v>18</v>
      </c>
      <c r="H290" s="6">
        <v>45473</v>
      </c>
      <c r="I290">
        <v>1</v>
      </c>
    </row>
    <row r="291" spans="1:9" x14ac:dyDescent="0.3">
      <c r="A291" t="s">
        <v>603</v>
      </c>
      <c r="B291" t="s">
        <v>604</v>
      </c>
      <c r="C291" t="s">
        <v>35</v>
      </c>
      <c r="D291" t="s">
        <v>17</v>
      </c>
      <c r="E291" s="5">
        <v>45419</v>
      </c>
      <c r="F291">
        <v>48</v>
      </c>
      <c r="G291" t="s">
        <v>18</v>
      </c>
      <c r="H291" s="6">
        <v>45421</v>
      </c>
      <c r="I291">
        <v>2</v>
      </c>
    </row>
    <row r="292" spans="1:9" x14ac:dyDescent="0.3">
      <c r="A292" t="s">
        <v>605</v>
      </c>
      <c r="B292" t="s">
        <v>606</v>
      </c>
      <c r="C292" t="s">
        <v>28</v>
      </c>
      <c r="D292" t="s">
        <v>12</v>
      </c>
      <c r="E292" s="5">
        <v>45510</v>
      </c>
      <c r="F292">
        <v>69</v>
      </c>
      <c r="G292" t="s">
        <v>18</v>
      </c>
      <c r="H292" s="6">
        <v>45512</v>
      </c>
      <c r="I292">
        <v>1</v>
      </c>
    </row>
    <row r="293" spans="1:9" x14ac:dyDescent="0.3">
      <c r="A293" t="s">
        <v>607</v>
      </c>
      <c r="B293" t="s">
        <v>608</v>
      </c>
      <c r="C293" t="s">
        <v>28</v>
      </c>
      <c r="D293" t="s">
        <v>12</v>
      </c>
      <c r="E293" s="5">
        <v>45636</v>
      </c>
      <c r="F293">
        <v>37</v>
      </c>
      <c r="G293" t="s">
        <v>13</v>
      </c>
      <c r="H293" s="6"/>
    </row>
    <row r="294" spans="1:9" x14ac:dyDescent="0.3">
      <c r="A294" t="s">
        <v>609</v>
      </c>
      <c r="B294" t="s">
        <v>610</v>
      </c>
      <c r="C294" t="s">
        <v>41</v>
      </c>
      <c r="D294" t="s">
        <v>17</v>
      </c>
      <c r="E294" s="5">
        <v>45460</v>
      </c>
      <c r="F294">
        <v>10</v>
      </c>
      <c r="G294" t="s">
        <v>18</v>
      </c>
      <c r="H294" s="6">
        <v>45460</v>
      </c>
      <c r="I294">
        <v>4</v>
      </c>
    </row>
    <row r="295" spans="1:9" x14ac:dyDescent="0.3">
      <c r="A295" t="s">
        <v>611</v>
      </c>
      <c r="B295" t="s">
        <v>612</v>
      </c>
      <c r="C295" t="s">
        <v>11</v>
      </c>
      <c r="D295" t="s">
        <v>12</v>
      </c>
      <c r="E295" s="5">
        <v>45442</v>
      </c>
      <c r="F295">
        <v>11</v>
      </c>
      <c r="G295" t="s">
        <v>18</v>
      </c>
      <c r="H295" s="6">
        <v>45442</v>
      </c>
      <c r="I295">
        <v>4</v>
      </c>
    </row>
    <row r="296" spans="1:9" x14ac:dyDescent="0.3">
      <c r="A296" t="s">
        <v>613</v>
      </c>
      <c r="B296" t="s">
        <v>614</v>
      </c>
      <c r="C296" t="s">
        <v>78</v>
      </c>
      <c r="D296" t="s">
        <v>23</v>
      </c>
      <c r="E296" s="5">
        <v>45581</v>
      </c>
      <c r="F296">
        <v>8</v>
      </c>
      <c r="G296" t="s">
        <v>18</v>
      </c>
      <c r="H296" s="6">
        <v>45581</v>
      </c>
      <c r="I296">
        <v>5</v>
      </c>
    </row>
    <row r="297" spans="1:9" x14ac:dyDescent="0.3">
      <c r="A297" t="s">
        <v>615</v>
      </c>
      <c r="B297" t="s">
        <v>616</v>
      </c>
      <c r="C297" t="s">
        <v>11</v>
      </c>
      <c r="D297" t="s">
        <v>31</v>
      </c>
      <c r="E297" s="5">
        <v>45448</v>
      </c>
      <c r="F297">
        <v>34</v>
      </c>
      <c r="G297" t="s">
        <v>18</v>
      </c>
      <c r="H297" s="6">
        <v>45449</v>
      </c>
      <c r="I297">
        <v>2</v>
      </c>
    </row>
    <row r="298" spans="1:9" x14ac:dyDescent="0.3">
      <c r="A298" t="s">
        <v>617</v>
      </c>
      <c r="B298" t="s">
        <v>618</v>
      </c>
      <c r="C298" t="s">
        <v>41</v>
      </c>
      <c r="D298" t="s">
        <v>17</v>
      </c>
      <c r="E298" s="5">
        <v>45395</v>
      </c>
      <c r="F298">
        <v>10</v>
      </c>
      <c r="G298" t="s">
        <v>18</v>
      </c>
      <c r="H298" s="6">
        <v>45395</v>
      </c>
      <c r="I298">
        <v>5</v>
      </c>
    </row>
    <row r="299" spans="1:9" x14ac:dyDescent="0.3">
      <c r="A299" t="s">
        <v>619</v>
      </c>
      <c r="B299" t="s">
        <v>620</v>
      </c>
      <c r="C299" t="s">
        <v>52</v>
      </c>
      <c r="D299" t="s">
        <v>31</v>
      </c>
      <c r="E299" s="5">
        <v>45630</v>
      </c>
      <c r="F299">
        <v>22</v>
      </c>
      <c r="G299" t="s">
        <v>18</v>
      </c>
      <c r="H299" s="6">
        <v>45630</v>
      </c>
      <c r="I299">
        <v>3</v>
      </c>
    </row>
    <row r="300" spans="1:9" x14ac:dyDescent="0.3">
      <c r="A300" t="s">
        <v>621</v>
      </c>
      <c r="B300" t="s">
        <v>622</v>
      </c>
      <c r="C300" t="s">
        <v>41</v>
      </c>
      <c r="D300" t="s">
        <v>12</v>
      </c>
      <c r="E300" s="5">
        <v>45417</v>
      </c>
      <c r="F300">
        <v>7</v>
      </c>
      <c r="G300" t="s">
        <v>18</v>
      </c>
      <c r="H300" s="6">
        <v>45417</v>
      </c>
      <c r="I300">
        <v>4</v>
      </c>
    </row>
    <row r="301" spans="1:9" x14ac:dyDescent="0.3">
      <c r="A301" t="s">
        <v>623</v>
      </c>
      <c r="B301" t="s">
        <v>624</v>
      </c>
      <c r="C301" t="s">
        <v>16</v>
      </c>
      <c r="D301" t="s">
        <v>69</v>
      </c>
      <c r="E301" s="5">
        <v>45462</v>
      </c>
      <c r="F301">
        <v>14</v>
      </c>
      <c r="G301" t="s">
        <v>18</v>
      </c>
      <c r="H301" s="6">
        <v>45462</v>
      </c>
      <c r="I301">
        <v>3</v>
      </c>
    </row>
    <row r="302" spans="1:9" x14ac:dyDescent="0.3">
      <c r="A302" t="s">
        <v>625</v>
      </c>
      <c r="B302" t="s">
        <v>626</v>
      </c>
      <c r="C302" t="s">
        <v>16</v>
      </c>
      <c r="D302" t="s">
        <v>12</v>
      </c>
      <c r="E302" s="5">
        <v>45367</v>
      </c>
      <c r="F302">
        <v>10</v>
      </c>
      <c r="G302" t="s">
        <v>32</v>
      </c>
      <c r="H302" s="6"/>
    </row>
    <row r="303" spans="1:9" x14ac:dyDescent="0.3">
      <c r="A303" t="s">
        <v>627</v>
      </c>
      <c r="B303" t="s">
        <v>628</v>
      </c>
      <c r="C303" t="s">
        <v>11</v>
      </c>
      <c r="D303" t="s">
        <v>12</v>
      </c>
      <c r="E303" s="5">
        <v>45446</v>
      </c>
      <c r="F303">
        <v>11</v>
      </c>
      <c r="G303" t="s">
        <v>18</v>
      </c>
      <c r="H303" s="6">
        <v>45446</v>
      </c>
      <c r="I303">
        <v>4</v>
      </c>
    </row>
    <row r="304" spans="1:9" x14ac:dyDescent="0.3">
      <c r="A304" t="s">
        <v>629</v>
      </c>
      <c r="B304" t="s">
        <v>630</v>
      </c>
      <c r="C304" t="s">
        <v>11</v>
      </c>
      <c r="D304" t="s">
        <v>31</v>
      </c>
      <c r="E304" s="5">
        <v>45600</v>
      </c>
      <c r="F304">
        <v>9</v>
      </c>
      <c r="G304" t="s">
        <v>18</v>
      </c>
      <c r="H304" s="6">
        <v>45600</v>
      </c>
      <c r="I304">
        <v>4</v>
      </c>
    </row>
    <row r="305" spans="1:9" x14ac:dyDescent="0.3">
      <c r="A305" t="s">
        <v>631</v>
      </c>
      <c r="B305" t="s">
        <v>632</v>
      </c>
      <c r="C305" t="s">
        <v>16</v>
      </c>
      <c r="D305" t="s">
        <v>12</v>
      </c>
      <c r="E305" s="5">
        <v>45591</v>
      </c>
      <c r="F305">
        <v>13</v>
      </c>
      <c r="G305" t="s">
        <v>13</v>
      </c>
      <c r="H305" s="6"/>
    </row>
    <row r="306" spans="1:9" x14ac:dyDescent="0.3">
      <c r="A306" t="s">
        <v>633</v>
      </c>
      <c r="B306" t="s">
        <v>634</v>
      </c>
      <c r="C306" t="s">
        <v>78</v>
      </c>
      <c r="D306" t="s">
        <v>23</v>
      </c>
      <c r="E306" s="5">
        <v>45600</v>
      </c>
      <c r="F306">
        <v>9</v>
      </c>
      <c r="G306" t="s">
        <v>18</v>
      </c>
      <c r="H306" s="6">
        <v>45600</v>
      </c>
      <c r="I306">
        <v>4</v>
      </c>
    </row>
    <row r="307" spans="1:9" x14ac:dyDescent="0.3">
      <c r="A307" t="s">
        <v>635</v>
      </c>
      <c r="B307" t="s">
        <v>636</v>
      </c>
      <c r="C307" t="s">
        <v>28</v>
      </c>
      <c r="D307" t="s">
        <v>69</v>
      </c>
      <c r="E307" s="5">
        <v>45393</v>
      </c>
      <c r="F307">
        <v>66</v>
      </c>
      <c r="G307" t="s">
        <v>18</v>
      </c>
      <c r="H307" s="6">
        <v>45395</v>
      </c>
      <c r="I307">
        <v>1</v>
      </c>
    </row>
    <row r="308" spans="1:9" x14ac:dyDescent="0.3">
      <c r="A308" t="s">
        <v>637</v>
      </c>
      <c r="B308" t="s">
        <v>638</v>
      </c>
      <c r="C308" t="s">
        <v>78</v>
      </c>
      <c r="D308" t="s">
        <v>23</v>
      </c>
      <c r="E308" s="5">
        <v>45371</v>
      </c>
      <c r="F308">
        <v>24</v>
      </c>
      <c r="G308" t="s">
        <v>18</v>
      </c>
      <c r="H308" s="6">
        <v>45372</v>
      </c>
      <c r="I308">
        <v>3</v>
      </c>
    </row>
    <row r="309" spans="1:9" x14ac:dyDescent="0.3">
      <c r="A309" t="s">
        <v>639</v>
      </c>
      <c r="B309" t="s">
        <v>640</v>
      </c>
      <c r="C309" t="s">
        <v>28</v>
      </c>
      <c r="D309" t="s">
        <v>31</v>
      </c>
      <c r="E309" s="5">
        <v>45498</v>
      </c>
      <c r="F309">
        <v>77</v>
      </c>
      <c r="G309" t="s">
        <v>32</v>
      </c>
      <c r="H309" s="6"/>
    </row>
    <row r="310" spans="1:9" x14ac:dyDescent="0.3">
      <c r="A310" t="s">
        <v>641</v>
      </c>
      <c r="B310" t="s">
        <v>642</v>
      </c>
      <c r="C310" t="s">
        <v>41</v>
      </c>
      <c r="D310" t="s">
        <v>23</v>
      </c>
      <c r="E310" s="5">
        <v>45591</v>
      </c>
      <c r="F310">
        <v>10</v>
      </c>
      <c r="G310" t="s">
        <v>18</v>
      </c>
      <c r="H310" s="6">
        <v>45591</v>
      </c>
      <c r="I310">
        <v>4</v>
      </c>
    </row>
    <row r="311" spans="1:9" x14ac:dyDescent="0.3">
      <c r="A311" t="s">
        <v>643</v>
      </c>
      <c r="B311" t="s">
        <v>644</v>
      </c>
      <c r="C311" t="s">
        <v>16</v>
      </c>
      <c r="D311" t="s">
        <v>17</v>
      </c>
      <c r="E311" s="5">
        <v>45450</v>
      </c>
      <c r="F311">
        <v>34</v>
      </c>
      <c r="G311" t="s">
        <v>32</v>
      </c>
      <c r="H311" s="6"/>
    </row>
    <row r="312" spans="1:9" x14ac:dyDescent="0.3">
      <c r="A312" t="s">
        <v>645</v>
      </c>
      <c r="B312" t="s">
        <v>646</v>
      </c>
      <c r="C312" t="s">
        <v>41</v>
      </c>
      <c r="D312" t="s">
        <v>69</v>
      </c>
      <c r="E312" s="5">
        <v>45292</v>
      </c>
      <c r="F312">
        <v>9</v>
      </c>
      <c r="G312" t="s">
        <v>18</v>
      </c>
      <c r="H312" s="6">
        <v>45292</v>
      </c>
      <c r="I312">
        <v>4</v>
      </c>
    </row>
    <row r="313" spans="1:9" x14ac:dyDescent="0.3">
      <c r="A313" t="s">
        <v>647</v>
      </c>
      <c r="B313" t="s">
        <v>648</v>
      </c>
      <c r="C313" t="s">
        <v>52</v>
      </c>
      <c r="D313" t="s">
        <v>23</v>
      </c>
      <c r="E313" s="5">
        <v>45629</v>
      </c>
      <c r="F313">
        <v>17</v>
      </c>
      <c r="G313" t="s">
        <v>32</v>
      </c>
      <c r="H313" s="6"/>
    </row>
    <row r="314" spans="1:9" x14ac:dyDescent="0.3">
      <c r="A314" t="s">
        <v>649</v>
      </c>
      <c r="B314" t="s">
        <v>650</v>
      </c>
      <c r="C314" t="s">
        <v>28</v>
      </c>
      <c r="D314" t="s">
        <v>12</v>
      </c>
      <c r="E314" s="5">
        <v>45643</v>
      </c>
      <c r="F314">
        <v>80</v>
      </c>
      <c r="G314" t="s">
        <v>18</v>
      </c>
      <c r="H314" s="6">
        <v>45646</v>
      </c>
      <c r="I314">
        <v>1</v>
      </c>
    </row>
    <row r="315" spans="1:9" x14ac:dyDescent="0.3">
      <c r="A315" t="s">
        <v>651</v>
      </c>
      <c r="B315" t="s">
        <v>652</v>
      </c>
      <c r="C315" t="s">
        <v>78</v>
      </c>
      <c r="D315" t="s">
        <v>12</v>
      </c>
      <c r="E315" s="5">
        <v>45370</v>
      </c>
      <c r="F315">
        <v>23</v>
      </c>
      <c r="G315" t="s">
        <v>18</v>
      </c>
      <c r="H315" s="6">
        <v>45370</v>
      </c>
      <c r="I315">
        <v>3</v>
      </c>
    </row>
    <row r="316" spans="1:9" x14ac:dyDescent="0.3">
      <c r="A316" t="s">
        <v>653</v>
      </c>
      <c r="B316" t="s">
        <v>654</v>
      </c>
      <c r="C316" t="s">
        <v>38</v>
      </c>
      <c r="D316" t="s">
        <v>12</v>
      </c>
      <c r="E316" s="5">
        <v>45548</v>
      </c>
      <c r="F316">
        <v>61</v>
      </c>
      <c r="G316" t="s">
        <v>18</v>
      </c>
      <c r="H316" s="6">
        <v>45550</v>
      </c>
      <c r="I316">
        <v>1</v>
      </c>
    </row>
    <row r="317" spans="1:9" x14ac:dyDescent="0.3">
      <c r="A317" t="s">
        <v>655</v>
      </c>
      <c r="B317" t="s">
        <v>656</v>
      </c>
      <c r="C317" t="s">
        <v>52</v>
      </c>
      <c r="D317" t="s">
        <v>12</v>
      </c>
      <c r="E317" s="5">
        <v>45438</v>
      </c>
      <c r="F317">
        <v>23</v>
      </c>
      <c r="G317" t="s">
        <v>18</v>
      </c>
      <c r="H317" s="6">
        <v>45438</v>
      </c>
      <c r="I317">
        <v>3</v>
      </c>
    </row>
    <row r="318" spans="1:9" x14ac:dyDescent="0.3">
      <c r="A318" t="s">
        <v>657</v>
      </c>
      <c r="B318" t="s">
        <v>658</v>
      </c>
      <c r="C318" t="s">
        <v>38</v>
      </c>
      <c r="D318" t="s">
        <v>17</v>
      </c>
      <c r="E318" s="5">
        <v>45346</v>
      </c>
      <c r="F318">
        <v>39</v>
      </c>
      <c r="G318" t="s">
        <v>18</v>
      </c>
      <c r="H318" s="6">
        <v>45347</v>
      </c>
      <c r="I318">
        <v>2</v>
      </c>
    </row>
    <row r="319" spans="1:9" x14ac:dyDescent="0.3">
      <c r="A319" t="s">
        <v>659</v>
      </c>
      <c r="B319" t="s">
        <v>660</v>
      </c>
      <c r="C319" t="s">
        <v>16</v>
      </c>
      <c r="D319" t="s">
        <v>17</v>
      </c>
      <c r="E319" s="5">
        <v>45475</v>
      </c>
      <c r="F319">
        <v>25</v>
      </c>
      <c r="G319" t="s">
        <v>18</v>
      </c>
      <c r="H319" s="6">
        <v>45476</v>
      </c>
      <c r="I319">
        <v>2</v>
      </c>
    </row>
    <row r="320" spans="1:9" x14ac:dyDescent="0.3">
      <c r="A320" t="s">
        <v>661</v>
      </c>
      <c r="B320" t="s">
        <v>662</v>
      </c>
      <c r="C320" t="s">
        <v>28</v>
      </c>
      <c r="D320" t="s">
        <v>17</v>
      </c>
      <c r="E320" s="5">
        <v>45334</v>
      </c>
      <c r="F320">
        <v>80</v>
      </c>
      <c r="G320" t="s">
        <v>18</v>
      </c>
      <c r="H320" s="6">
        <v>45337</v>
      </c>
      <c r="I320">
        <v>1</v>
      </c>
    </row>
    <row r="321" spans="1:9" x14ac:dyDescent="0.3">
      <c r="A321" t="s">
        <v>663</v>
      </c>
      <c r="B321" t="s">
        <v>664</v>
      </c>
      <c r="C321" t="s">
        <v>28</v>
      </c>
      <c r="D321" t="s">
        <v>23</v>
      </c>
      <c r="E321" s="5">
        <v>45394</v>
      </c>
      <c r="F321">
        <v>69</v>
      </c>
      <c r="G321" t="s">
        <v>18</v>
      </c>
      <c r="H321" s="6">
        <v>45396</v>
      </c>
      <c r="I321">
        <v>1</v>
      </c>
    </row>
    <row r="322" spans="1:9" x14ac:dyDescent="0.3">
      <c r="A322" t="s">
        <v>665</v>
      </c>
      <c r="B322" t="s">
        <v>666</v>
      </c>
      <c r="C322" t="s">
        <v>35</v>
      </c>
      <c r="D322" t="s">
        <v>12</v>
      </c>
      <c r="E322" s="5">
        <v>45350</v>
      </c>
      <c r="F322">
        <v>19</v>
      </c>
      <c r="G322" t="s">
        <v>13</v>
      </c>
      <c r="H322" s="6"/>
    </row>
    <row r="323" spans="1:9" x14ac:dyDescent="0.3">
      <c r="A323" t="s">
        <v>667</v>
      </c>
      <c r="B323" t="s">
        <v>668</v>
      </c>
      <c r="C323" t="s">
        <v>28</v>
      </c>
      <c r="D323" t="s">
        <v>12</v>
      </c>
      <c r="E323" s="5">
        <v>45392</v>
      </c>
      <c r="F323">
        <v>25</v>
      </c>
      <c r="G323" t="s">
        <v>18</v>
      </c>
      <c r="H323" s="6">
        <v>45393</v>
      </c>
      <c r="I323">
        <v>2</v>
      </c>
    </row>
    <row r="324" spans="1:9" x14ac:dyDescent="0.3">
      <c r="A324" t="s">
        <v>669</v>
      </c>
      <c r="B324" t="s">
        <v>670</v>
      </c>
      <c r="C324" t="s">
        <v>52</v>
      </c>
      <c r="D324" t="s">
        <v>12</v>
      </c>
      <c r="E324" s="5">
        <v>45634</v>
      </c>
      <c r="F324">
        <v>2</v>
      </c>
      <c r="G324" t="s">
        <v>18</v>
      </c>
      <c r="H324" s="6">
        <v>45634</v>
      </c>
      <c r="I324">
        <v>5</v>
      </c>
    </row>
    <row r="325" spans="1:9" x14ac:dyDescent="0.3">
      <c r="A325" t="s">
        <v>671</v>
      </c>
      <c r="B325" t="s">
        <v>672</v>
      </c>
      <c r="C325" t="s">
        <v>16</v>
      </c>
      <c r="D325" t="s">
        <v>12</v>
      </c>
      <c r="E325" s="5">
        <v>45421</v>
      </c>
      <c r="F325">
        <v>11</v>
      </c>
      <c r="G325" t="s">
        <v>18</v>
      </c>
      <c r="H325" s="6">
        <v>45421</v>
      </c>
      <c r="I325">
        <v>4</v>
      </c>
    </row>
    <row r="326" spans="1:9" x14ac:dyDescent="0.3">
      <c r="A326" t="s">
        <v>673</v>
      </c>
      <c r="B326" t="s">
        <v>674</v>
      </c>
      <c r="C326" t="s">
        <v>52</v>
      </c>
      <c r="D326" t="s">
        <v>23</v>
      </c>
      <c r="E326" s="5">
        <v>45611</v>
      </c>
      <c r="F326">
        <v>15</v>
      </c>
      <c r="G326" t="s">
        <v>18</v>
      </c>
      <c r="H326" s="6">
        <v>45611</v>
      </c>
      <c r="I326">
        <v>3</v>
      </c>
    </row>
    <row r="327" spans="1:9" x14ac:dyDescent="0.3">
      <c r="A327" t="s">
        <v>675</v>
      </c>
      <c r="B327" t="s">
        <v>676</v>
      </c>
      <c r="C327" t="s">
        <v>52</v>
      </c>
      <c r="D327" t="s">
        <v>12</v>
      </c>
      <c r="E327" s="5">
        <v>45578</v>
      </c>
      <c r="F327">
        <v>8</v>
      </c>
      <c r="G327" t="s">
        <v>13</v>
      </c>
      <c r="H327" s="6"/>
    </row>
    <row r="328" spans="1:9" x14ac:dyDescent="0.3">
      <c r="A328" t="s">
        <v>677</v>
      </c>
      <c r="B328" t="s">
        <v>678</v>
      </c>
      <c r="C328" t="s">
        <v>11</v>
      </c>
      <c r="D328" t="s">
        <v>31</v>
      </c>
      <c r="E328" s="5">
        <v>45612</v>
      </c>
      <c r="F328">
        <v>8</v>
      </c>
      <c r="G328" t="s">
        <v>18</v>
      </c>
      <c r="H328" s="6">
        <v>45612</v>
      </c>
      <c r="I328">
        <v>4</v>
      </c>
    </row>
    <row r="329" spans="1:9" x14ac:dyDescent="0.3">
      <c r="A329" t="s">
        <v>679</v>
      </c>
      <c r="B329" t="s">
        <v>680</v>
      </c>
      <c r="C329" t="s">
        <v>11</v>
      </c>
      <c r="D329" t="s">
        <v>31</v>
      </c>
      <c r="E329" s="5">
        <v>45310</v>
      </c>
      <c r="F329">
        <v>6</v>
      </c>
      <c r="G329" t="s">
        <v>13</v>
      </c>
      <c r="H329" s="6"/>
    </row>
    <row r="330" spans="1:9" x14ac:dyDescent="0.3">
      <c r="A330" t="s">
        <v>681</v>
      </c>
      <c r="B330" t="s">
        <v>682</v>
      </c>
      <c r="C330" t="s">
        <v>16</v>
      </c>
      <c r="D330" t="s">
        <v>69</v>
      </c>
      <c r="E330" s="5">
        <v>45326</v>
      </c>
      <c r="F330">
        <v>18</v>
      </c>
      <c r="G330" t="s">
        <v>13</v>
      </c>
      <c r="H330" s="6"/>
    </row>
    <row r="331" spans="1:9" x14ac:dyDescent="0.3">
      <c r="A331" t="s">
        <v>683</v>
      </c>
      <c r="B331" t="s">
        <v>684</v>
      </c>
      <c r="C331" t="s">
        <v>78</v>
      </c>
      <c r="D331" t="s">
        <v>12</v>
      </c>
      <c r="E331" s="5">
        <v>45397</v>
      </c>
      <c r="F331">
        <v>20</v>
      </c>
      <c r="G331" t="s">
        <v>18</v>
      </c>
      <c r="H331" s="6">
        <v>45397</v>
      </c>
      <c r="I331">
        <v>3</v>
      </c>
    </row>
    <row r="332" spans="1:9" x14ac:dyDescent="0.3">
      <c r="A332" t="s">
        <v>685</v>
      </c>
      <c r="B332" t="s">
        <v>686</v>
      </c>
      <c r="C332" t="s">
        <v>38</v>
      </c>
      <c r="D332" t="s">
        <v>17</v>
      </c>
      <c r="E332" s="5">
        <v>45511</v>
      </c>
      <c r="F332">
        <v>56</v>
      </c>
      <c r="G332" t="s">
        <v>13</v>
      </c>
      <c r="H332" s="6"/>
    </row>
    <row r="333" spans="1:9" x14ac:dyDescent="0.3">
      <c r="A333" t="s">
        <v>687</v>
      </c>
      <c r="B333" t="s">
        <v>688</v>
      </c>
      <c r="C333" t="s">
        <v>78</v>
      </c>
      <c r="D333" t="s">
        <v>17</v>
      </c>
      <c r="E333" s="5">
        <v>45441</v>
      </c>
      <c r="F333">
        <v>21</v>
      </c>
      <c r="G333" t="s">
        <v>18</v>
      </c>
      <c r="H333" s="6">
        <v>45441</v>
      </c>
      <c r="I333">
        <v>3</v>
      </c>
    </row>
    <row r="334" spans="1:9" x14ac:dyDescent="0.3">
      <c r="A334" t="s">
        <v>689</v>
      </c>
      <c r="B334" t="s">
        <v>690</v>
      </c>
      <c r="C334" t="s">
        <v>28</v>
      </c>
      <c r="D334" t="s">
        <v>12</v>
      </c>
      <c r="E334" s="5">
        <v>45380</v>
      </c>
      <c r="F334">
        <v>39</v>
      </c>
      <c r="G334" t="s">
        <v>13</v>
      </c>
      <c r="H334" s="6"/>
    </row>
    <row r="335" spans="1:9" x14ac:dyDescent="0.3">
      <c r="A335" t="s">
        <v>691</v>
      </c>
      <c r="B335" t="s">
        <v>692</v>
      </c>
      <c r="C335" t="s">
        <v>38</v>
      </c>
      <c r="D335" t="s">
        <v>31</v>
      </c>
      <c r="E335" s="5">
        <v>45579</v>
      </c>
      <c r="F335">
        <v>72</v>
      </c>
      <c r="G335" t="s">
        <v>13</v>
      </c>
      <c r="H335" s="6"/>
    </row>
    <row r="336" spans="1:9" x14ac:dyDescent="0.3">
      <c r="A336" t="s">
        <v>693</v>
      </c>
      <c r="B336" t="s">
        <v>694</v>
      </c>
      <c r="C336" t="s">
        <v>52</v>
      </c>
      <c r="D336" t="s">
        <v>23</v>
      </c>
      <c r="E336" s="5">
        <v>45468</v>
      </c>
      <c r="F336">
        <v>12</v>
      </c>
      <c r="G336" t="s">
        <v>18</v>
      </c>
      <c r="H336" s="6">
        <v>45468</v>
      </c>
      <c r="I336">
        <v>4</v>
      </c>
    </row>
    <row r="337" spans="1:9" x14ac:dyDescent="0.3">
      <c r="A337" t="s">
        <v>695</v>
      </c>
      <c r="B337" t="s">
        <v>696</v>
      </c>
      <c r="C337" t="s">
        <v>35</v>
      </c>
      <c r="D337" t="s">
        <v>23</v>
      </c>
      <c r="E337" s="5">
        <v>45365</v>
      </c>
      <c r="F337">
        <v>51</v>
      </c>
      <c r="G337" t="s">
        <v>13</v>
      </c>
      <c r="H337" s="6"/>
    </row>
    <row r="338" spans="1:9" x14ac:dyDescent="0.3">
      <c r="A338" t="s">
        <v>697</v>
      </c>
      <c r="B338" t="s">
        <v>698</v>
      </c>
      <c r="C338" t="s">
        <v>16</v>
      </c>
      <c r="D338" t="s">
        <v>17</v>
      </c>
      <c r="E338" s="5">
        <v>45379</v>
      </c>
      <c r="F338">
        <v>15</v>
      </c>
      <c r="G338" t="s">
        <v>18</v>
      </c>
      <c r="H338" s="6">
        <v>45379</v>
      </c>
      <c r="I338">
        <v>3</v>
      </c>
    </row>
    <row r="339" spans="1:9" x14ac:dyDescent="0.3">
      <c r="A339" t="s">
        <v>699</v>
      </c>
      <c r="B339" t="s">
        <v>700</v>
      </c>
      <c r="C339" t="s">
        <v>11</v>
      </c>
      <c r="D339" t="s">
        <v>69</v>
      </c>
      <c r="E339" s="5">
        <v>45487</v>
      </c>
      <c r="F339">
        <v>23</v>
      </c>
      <c r="G339" t="s">
        <v>18</v>
      </c>
      <c r="H339" s="6">
        <v>45487</v>
      </c>
      <c r="I339">
        <v>3</v>
      </c>
    </row>
    <row r="340" spans="1:9" x14ac:dyDescent="0.3">
      <c r="A340" t="s">
        <v>701</v>
      </c>
      <c r="B340" t="s">
        <v>702</v>
      </c>
      <c r="C340" t="s">
        <v>41</v>
      </c>
      <c r="D340" t="s">
        <v>23</v>
      </c>
      <c r="E340" s="5">
        <v>45388</v>
      </c>
      <c r="F340">
        <v>3</v>
      </c>
      <c r="G340" t="s">
        <v>18</v>
      </c>
      <c r="H340" s="6">
        <v>45388</v>
      </c>
      <c r="I340">
        <v>5</v>
      </c>
    </row>
    <row r="341" spans="1:9" x14ac:dyDescent="0.3">
      <c r="A341" t="s">
        <v>703</v>
      </c>
      <c r="B341" t="s">
        <v>704</v>
      </c>
      <c r="C341" t="s">
        <v>16</v>
      </c>
      <c r="D341" t="s">
        <v>23</v>
      </c>
      <c r="E341" s="5">
        <v>45508</v>
      </c>
      <c r="F341">
        <v>13</v>
      </c>
      <c r="G341" t="s">
        <v>18</v>
      </c>
      <c r="H341" s="6">
        <v>45508</v>
      </c>
      <c r="I341">
        <v>3</v>
      </c>
    </row>
    <row r="342" spans="1:9" x14ac:dyDescent="0.3">
      <c r="A342" t="s">
        <v>705</v>
      </c>
      <c r="B342" t="s">
        <v>706</v>
      </c>
      <c r="C342" t="s">
        <v>16</v>
      </c>
      <c r="D342" t="s">
        <v>31</v>
      </c>
      <c r="E342" s="5">
        <v>45553</v>
      </c>
      <c r="F342">
        <v>21</v>
      </c>
      <c r="G342" t="s">
        <v>32</v>
      </c>
      <c r="H342" s="6"/>
    </row>
    <row r="343" spans="1:9" x14ac:dyDescent="0.3">
      <c r="A343" t="s">
        <v>707</v>
      </c>
      <c r="B343" t="s">
        <v>708</v>
      </c>
      <c r="C343" t="s">
        <v>11</v>
      </c>
      <c r="D343" t="s">
        <v>23</v>
      </c>
      <c r="E343" s="5">
        <v>45618</v>
      </c>
      <c r="F343">
        <v>10</v>
      </c>
      <c r="G343" t="s">
        <v>18</v>
      </c>
      <c r="H343" s="6">
        <v>45618</v>
      </c>
      <c r="I343">
        <v>4</v>
      </c>
    </row>
    <row r="344" spans="1:9" x14ac:dyDescent="0.3">
      <c r="A344" t="s">
        <v>709</v>
      </c>
      <c r="B344" t="s">
        <v>710</v>
      </c>
      <c r="C344" t="s">
        <v>16</v>
      </c>
      <c r="D344" t="s">
        <v>12</v>
      </c>
      <c r="E344" s="5">
        <v>45516</v>
      </c>
      <c r="F344">
        <v>11</v>
      </c>
      <c r="G344" t="s">
        <v>32</v>
      </c>
      <c r="H344" s="6"/>
    </row>
    <row r="345" spans="1:9" x14ac:dyDescent="0.3">
      <c r="A345" t="s">
        <v>711</v>
      </c>
      <c r="B345" t="s">
        <v>712</v>
      </c>
      <c r="C345" t="s">
        <v>41</v>
      </c>
      <c r="D345" t="s">
        <v>12</v>
      </c>
      <c r="E345" s="5">
        <v>45449</v>
      </c>
      <c r="F345">
        <v>5</v>
      </c>
      <c r="G345" t="s">
        <v>18</v>
      </c>
      <c r="H345" s="6">
        <v>45449</v>
      </c>
      <c r="I345">
        <v>5</v>
      </c>
    </row>
    <row r="346" spans="1:9" x14ac:dyDescent="0.3">
      <c r="A346" t="s">
        <v>713</v>
      </c>
      <c r="B346" t="s">
        <v>714</v>
      </c>
      <c r="C346" t="s">
        <v>11</v>
      </c>
      <c r="D346" t="s">
        <v>31</v>
      </c>
      <c r="E346" s="5">
        <v>45623</v>
      </c>
      <c r="F346">
        <v>19</v>
      </c>
      <c r="G346" t="s">
        <v>18</v>
      </c>
      <c r="H346" s="6">
        <v>45623</v>
      </c>
      <c r="I346">
        <v>5</v>
      </c>
    </row>
    <row r="347" spans="1:9" x14ac:dyDescent="0.3">
      <c r="A347" t="s">
        <v>715</v>
      </c>
      <c r="B347" t="s">
        <v>716</v>
      </c>
      <c r="C347" t="s">
        <v>52</v>
      </c>
      <c r="D347" t="s">
        <v>23</v>
      </c>
      <c r="E347" s="5">
        <v>45354</v>
      </c>
      <c r="F347">
        <v>14</v>
      </c>
      <c r="G347" t="s">
        <v>13</v>
      </c>
      <c r="H347" s="6"/>
    </row>
    <row r="348" spans="1:9" x14ac:dyDescent="0.3">
      <c r="A348" t="s">
        <v>717</v>
      </c>
      <c r="B348" t="s">
        <v>718</v>
      </c>
      <c r="C348" t="s">
        <v>38</v>
      </c>
      <c r="D348" t="s">
        <v>17</v>
      </c>
      <c r="E348" s="5">
        <v>45569</v>
      </c>
      <c r="F348">
        <v>61</v>
      </c>
      <c r="G348" t="s">
        <v>32</v>
      </c>
      <c r="H348" s="6"/>
    </row>
    <row r="349" spans="1:9" x14ac:dyDescent="0.3">
      <c r="A349" t="s">
        <v>719</v>
      </c>
      <c r="B349" t="s">
        <v>720</v>
      </c>
      <c r="C349" t="s">
        <v>78</v>
      </c>
      <c r="D349" t="s">
        <v>23</v>
      </c>
      <c r="E349" s="5">
        <v>45516</v>
      </c>
      <c r="F349">
        <v>17</v>
      </c>
      <c r="G349" t="s">
        <v>18</v>
      </c>
      <c r="H349" s="6">
        <v>45516</v>
      </c>
      <c r="I349">
        <v>3</v>
      </c>
    </row>
    <row r="350" spans="1:9" x14ac:dyDescent="0.3">
      <c r="A350" t="s">
        <v>721</v>
      </c>
      <c r="B350" t="s">
        <v>722</v>
      </c>
      <c r="C350" t="s">
        <v>52</v>
      </c>
      <c r="D350" t="s">
        <v>23</v>
      </c>
      <c r="E350" s="5">
        <v>45427</v>
      </c>
      <c r="F350">
        <v>3</v>
      </c>
      <c r="G350" t="s">
        <v>18</v>
      </c>
      <c r="H350" s="6">
        <v>45427</v>
      </c>
      <c r="I350">
        <v>5</v>
      </c>
    </row>
    <row r="351" spans="1:9" x14ac:dyDescent="0.3">
      <c r="A351" t="s">
        <v>723</v>
      </c>
      <c r="B351" t="s">
        <v>724</v>
      </c>
      <c r="C351" t="s">
        <v>78</v>
      </c>
      <c r="D351" t="s">
        <v>12</v>
      </c>
      <c r="E351" s="5">
        <v>45335</v>
      </c>
      <c r="F351">
        <v>3</v>
      </c>
      <c r="G351" t="s">
        <v>13</v>
      </c>
      <c r="H351" s="6"/>
    </row>
    <row r="352" spans="1:9" x14ac:dyDescent="0.3">
      <c r="A352" t="s">
        <v>725</v>
      </c>
      <c r="B352" t="s">
        <v>726</v>
      </c>
      <c r="C352" t="s">
        <v>78</v>
      </c>
      <c r="D352" t="s">
        <v>31</v>
      </c>
      <c r="E352" s="5">
        <v>45363</v>
      </c>
      <c r="F352">
        <v>10</v>
      </c>
      <c r="G352" t="s">
        <v>18</v>
      </c>
      <c r="H352" s="6">
        <v>45363</v>
      </c>
      <c r="I352">
        <v>4</v>
      </c>
    </row>
    <row r="353" spans="1:9" x14ac:dyDescent="0.3">
      <c r="A353" t="s">
        <v>727</v>
      </c>
      <c r="B353" t="s">
        <v>728</v>
      </c>
      <c r="C353" t="s">
        <v>35</v>
      </c>
      <c r="D353" t="s">
        <v>12</v>
      </c>
      <c r="E353" s="5">
        <v>45557</v>
      </c>
      <c r="F353">
        <v>67</v>
      </c>
      <c r="G353" t="s">
        <v>18</v>
      </c>
      <c r="H353" s="6">
        <v>45559</v>
      </c>
      <c r="I353">
        <v>1</v>
      </c>
    </row>
    <row r="354" spans="1:9" x14ac:dyDescent="0.3">
      <c r="A354" t="s">
        <v>729</v>
      </c>
      <c r="B354" t="s">
        <v>730</v>
      </c>
      <c r="C354" t="s">
        <v>28</v>
      </c>
      <c r="D354" t="s">
        <v>17</v>
      </c>
      <c r="E354" s="5">
        <v>45362</v>
      </c>
      <c r="F354">
        <v>56</v>
      </c>
      <c r="G354" t="s">
        <v>18</v>
      </c>
      <c r="H354" s="6">
        <v>45364</v>
      </c>
      <c r="I354">
        <v>1</v>
      </c>
    </row>
    <row r="355" spans="1:9" x14ac:dyDescent="0.3">
      <c r="A355" t="s">
        <v>731</v>
      </c>
      <c r="B355" t="s">
        <v>732</v>
      </c>
      <c r="C355" t="s">
        <v>35</v>
      </c>
      <c r="D355" t="s">
        <v>23</v>
      </c>
      <c r="E355" s="5">
        <v>45653</v>
      </c>
      <c r="F355">
        <v>52</v>
      </c>
      <c r="G355" t="s">
        <v>18</v>
      </c>
      <c r="H355" s="6">
        <v>45655</v>
      </c>
      <c r="I355">
        <v>1</v>
      </c>
    </row>
    <row r="356" spans="1:9" x14ac:dyDescent="0.3">
      <c r="A356" t="s">
        <v>733</v>
      </c>
      <c r="B356" t="s">
        <v>734</v>
      </c>
      <c r="C356" t="s">
        <v>28</v>
      </c>
      <c r="D356" t="s">
        <v>12</v>
      </c>
      <c r="E356" s="5">
        <v>45307</v>
      </c>
      <c r="F356">
        <v>55</v>
      </c>
      <c r="G356" t="s">
        <v>18</v>
      </c>
      <c r="H356" s="6">
        <v>45309</v>
      </c>
      <c r="I356">
        <v>1</v>
      </c>
    </row>
    <row r="357" spans="1:9" x14ac:dyDescent="0.3">
      <c r="A357" t="s">
        <v>735</v>
      </c>
      <c r="B357" t="s">
        <v>736</v>
      </c>
      <c r="C357" t="s">
        <v>16</v>
      </c>
      <c r="D357" t="s">
        <v>17</v>
      </c>
      <c r="E357" s="5">
        <v>45516</v>
      </c>
      <c r="F357">
        <v>17</v>
      </c>
      <c r="G357" t="s">
        <v>18</v>
      </c>
      <c r="H357" s="6">
        <v>45516</v>
      </c>
      <c r="I357">
        <v>3</v>
      </c>
    </row>
    <row r="358" spans="1:9" x14ac:dyDescent="0.3">
      <c r="A358" t="s">
        <v>737</v>
      </c>
      <c r="B358" t="s">
        <v>738</v>
      </c>
      <c r="C358" t="s">
        <v>16</v>
      </c>
      <c r="D358" t="s">
        <v>12</v>
      </c>
      <c r="E358" s="5">
        <v>45386</v>
      </c>
      <c r="F358">
        <v>26</v>
      </c>
      <c r="G358" t="s">
        <v>18</v>
      </c>
      <c r="H358" s="6">
        <v>45387</v>
      </c>
      <c r="I358">
        <v>2</v>
      </c>
    </row>
    <row r="359" spans="1:9" x14ac:dyDescent="0.3">
      <c r="A359" t="s">
        <v>739</v>
      </c>
      <c r="B359" t="s">
        <v>740</v>
      </c>
      <c r="C359" t="s">
        <v>41</v>
      </c>
      <c r="D359" t="s">
        <v>12</v>
      </c>
      <c r="E359" s="5">
        <v>45363</v>
      </c>
      <c r="F359">
        <v>12</v>
      </c>
      <c r="G359" t="s">
        <v>18</v>
      </c>
      <c r="H359" s="6">
        <v>45363</v>
      </c>
      <c r="I359">
        <v>4</v>
      </c>
    </row>
    <row r="360" spans="1:9" x14ac:dyDescent="0.3">
      <c r="A360" t="s">
        <v>741</v>
      </c>
      <c r="B360" t="s">
        <v>742</v>
      </c>
      <c r="C360" t="s">
        <v>28</v>
      </c>
      <c r="D360" t="s">
        <v>69</v>
      </c>
      <c r="E360" s="5">
        <v>45640</v>
      </c>
      <c r="F360">
        <v>87</v>
      </c>
      <c r="G360" t="s">
        <v>13</v>
      </c>
      <c r="H360" s="6"/>
    </row>
    <row r="361" spans="1:9" x14ac:dyDescent="0.3">
      <c r="A361" t="s">
        <v>743</v>
      </c>
      <c r="B361" t="s">
        <v>744</v>
      </c>
      <c r="C361" t="s">
        <v>28</v>
      </c>
      <c r="D361" t="s">
        <v>23</v>
      </c>
      <c r="E361" s="5">
        <v>45552</v>
      </c>
      <c r="F361">
        <v>76</v>
      </c>
      <c r="G361" t="s">
        <v>18</v>
      </c>
      <c r="H361" s="6">
        <v>45555</v>
      </c>
      <c r="I361">
        <v>5</v>
      </c>
    </row>
    <row r="362" spans="1:9" x14ac:dyDescent="0.3">
      <c r="A362" t="s">
        <v>745</v>
      </c>
      <c r="B362" t="s">
        <v>746</v>
      </c>
      <c r="C362" t="s">
        <v>28</v>
      </c>
      <c r="D362" t="s">
        <v>12</v>
      </c>
      <c r="E362" s="5">
        <v>45582</v>
      </c>
      <c r="F362">
        <v>32</v>
      </c>
      <c r="G362" t="s">
        <v>32</v>
      </c>
      <c r="H362" s="6"/>
    </row>
    <row r="363" spans="1:9" x14ac:dyDescent="0.3">
      <c r="A363" t="s">
        <v>747</v>
      </c>
      <c r="B363" t="s">
        <v>748</v>
      </c>
      <c r="C363" t="s">
        <v>35</v>
      </c>
      <c r="D363" t="s">
        <v>31</v>
      </c>
      <c r="E363" s="5">
        <v>45416</v>
      </c>
      <c r="F363">
        <v>26</v>
      </c>
      <c r="G363" t="s">
        <v>18</v>
      </c>
      <c r="H363" s="6">
        <v>45417</v>
      </c>
      <c r="I363">
        <v>2</v>
      </c>
    </row>
    <row r="364" spans="1:9" x14ac:dyDescent="0.3">
      <c r="A364" t="s">
        <v>749</v>
      </c>
      <c r="B364" t="s">
        <v>750</v>
      </c>
      <c r="C364" t="s">
        <v>52</v>
      </c>
      <c r="D364" t="s">
        <v>23</v>
      </c>
      <c r="E364" s="5">
        <v>45505</v>
      </c>
      <c r="F364">
        <v>8</v>
      </c>
      <c r="G364" t="s">
        <v>18</v>
      </c>
      <c r="H364" s="6">
        <v>45505</v>
      </c>
      <c r="I364">
        <v>4</v>
      </c>
    </row>
    <row r="365" spans="1:9" x14ac:dyDescent="0.3">
      <c r="A365" t="s">
        <v>751</v>
      </c>
      <c r="B365" t="s">
        <v>752</v>
      </c>
      <c r="C365" t="s">
        <v>41</v>
      </c>
      <c r="D365" t="s">
        <v>17</v>
      </c>
      <c r="E365" s="5">
        <v>45552</v>
      </c>
      <c r="F365">
        <v>3</v>
      </c>
      <c r="G365" t="s">
        <v>18</v>
      </c>
      <c r="H365" s="6">
        <v>45552</v>
      </c>
      <c r="I365">
        <v>5</v>
      </c>
    </row>
    <row r="366" spans="1:9" x14ac:dyDescent="0.3">
      <c r="A366" t="s">
        <v>753</v>
      </c>
      <c r="B366" t="s">
        <v>754</v>
      </c>
      <c r="C366" t="s">
        <v>38</v>
      </c>
      <c r="D366" t="s">
        <v>17</v>
      </c>
      <c r="E366" s="5">
        <v>45409</v>
      </c>
      <c r="F366">
        <v>11</v>
      </c>
      <c r="G366" t="s">
        <v>18</v>
      </c>
      <c r="H366" s="6">
        <v>45409</v>
      </c>
      <c r="I366">
        <v>4</v>
      </c>
    </row>
    <row r="367" spans="1:9" x14ac:dyDescent="0.3">
      <c r="A367" t="s">
        <v>755</v>
      </c>
      <c r="B367" t="s">
        <v>756</v>
      </c>
      <c r="C367" t="s">
        <v>11</v>
      </c>
      <c r="D367" t="s">
        <v>17</v>
      </c>
      <c r="E367" s="5">
        <v>45630</v>
      </c>
      <c r="F367">
        <v>41</v>
      </c>
      <c r="G367" t="s">
        <v>18</v>
      </c>
      <c r="H367" s="6">
        <v>45631</v>
      </c>
      <c r="I367">
        <v>2</v>
      </c>
    </row>
    <row r="368" spans="1:9" x14ac:dyDescent="0.3">
      <c r="A368" t="s">
        <v>757</v>
      </c>
      <c r="B368" t="s">
        <v>758</v>
      </c>
      <c r="C368" t="s">
        <v>35</v>
      </c>
      <c r="D368" t="s">
        <v>17</v>
      </c>
      <c r="E368" s="5">
        <v>45601</v>
      </c>
      <c r="F368">
        <v>20</v>
      </c>
      <c r="G368" t="s">
        <v>32</v>
      </c>
      <c r="H368" s="6"/>
    </row>
    <row r="369" spans="1:9" x14ac:dyDescent="0.3">
      <c r="A369" t="s">
        <v>759</v>
      </c>
      <c r="B369" t="s">
        <v>760</v>
      </c>
      <c r="C369" t="s">
        <v>78</v>
      </c>
      <c r="D369" t="s">
        <v>23</v>
      </c>
      <c r="E369" s="5">
        <v>45607</v>
      </c>
      <c r="F369">
        <v>2</v>
      </c>
      <c r="G369" t="s">
        <v>18</v>
      </c>
      <c r="H369" s="6">
        <v>45607</v>
      </c>
      <c r="I369">
        <v>5</v>
      </c>
    </row>
    <row r="370" spans="1:9" x14ac:dyDescent="0.3">
      <c r="A370" t="s">
        <v>761</v>
      </c>
      <c r="B370" t="s">
        <v>762</v>
      </c>
      <c r="C370" t="s">
        <v>52</v>
      </c>
      <c r="D370" t="s">
        <v>12</v>
      </c>
      <c r="E370" s="5">
        <v>45630</v>
      </c>
      <c r="F370">
        <v>13</v>
      </c>
      <c r="G370" t="s">
        <v>18</v>
      </c>
      <c r="H370" s="6">
        <v>45630</v>
      </c>
      <c r="I370">
        <v>3</v>
      </c>
    </row>
    <row r="371" spans="1:9" x14ac:dyDescent="0.3">
      <c r="A371" t="s">
        <v>763</v>
      </c>
      <c r="B371" t="s">
        <v>764</v>
      </c>
      <c r="C371" t="s">
        <v>16</v>
      </c>
      <c r="D371" t="s">
        <v>23</v>
      </c>
      <c r="E371" s="5">
        <v>45329</v>
      </c>
      <c r="F371">
        <v>22</v>
      </c>
      <c r="G371" t="s">
        <v>18</v>
      </c>
      <c r="H371" s="6">
        <v>45329</v>
      </c>
      <c r="I371">
        <v>5</v>
      </c>
    </row>
    <row r="372" spans="1:9" x14ac:dyDescent="0.3">
      <c r="A372" t="s">
        <v>765</v>
      </c>
      <c r="B372" t="s">
        <v>766</v>
      </c>
      <c r="C372" t="s">
        <v>38</v>
      </c>
      <c r="D372" t="s">
        <v>17</v>
      </c>
      <c r="E372" s="5">
        <v>45318</v>
      </c>
      <c r="F372">
        <v>49</v>
      </c>
      <c r="G372" t="s">
        <v>18</v>
      </c>
      <c r="H372" s="6">
        <v>45320</v>
      </c>
      <c r="I372">
        <v>1</v>
      </c>
    </row>
    <row r="373" spans="1:9" x14ac:dyDescent="0.3">
      <c r="A373" t="s">
        <v>767</v>
      </c>
      <c r="B373" t="s">
        <v>768</v>
      </c>
      <c r="C373" t="s">
        <v>52</v>
      </c>
      <c r="D373" t="s">
        <v>23</v>
      </c>
      <c r="E373" s="5">
        <v>45306</v>
      </c>
      <c r="F373">
        <v>9</v>
      </c>
      <c r="G373" t="s">
        <v>18</v>
      </c>
      <c r="H373" s="6">
        <v>45306</v>
      </c>
      <c r="I373">
        <v>4</v>
      </c>
    </row>
    <row r="374" spans="1:9" x14ac:dyDescent="0.3">
      <c r="A374" t="s">
        <v>769</v>
      </c>
      <c r="B374" t="s">
        <v>770</v>
      </c>
      <c r="C374" t="s">
        <v>11</v>
      </c>
      <c r="D374" t="s">
        <v>31</v>
      </c>
      <c r="E374" s="5">
        <v>45431</v>
      </c>
      <c r="F374">
        <v>8</v>
      </c>
      <c r="G374" t="s">
        <v>18</v>
      </c>
      <c r="H374" s="6">
        <v>45431</v>
      </c>
      <c r="I374">
        <v>4</v>
      </c>
    </row>
    <row r="375" spans="1:9" x14ac:dyDescent="0.3">
      <c r="A375" t="s">
        <v>771</v>
      </c>
      <c r="B375" t="s">
        <v>772</v>
      </c>
      <c r="C375" t="s">
        <v>28</v>
      </c>
      <c r="D375" t="s">
        <v>23</v>
      </c>
      <c r="E375" s="5">
        <v>45343</v>
      </c>
      <c r="F375">
        <v>33</v>
      </c>
      <c r="G375" t="s">
        <v>18</v>
      </c>
      <c r="H375" s="6">
        <v>45344</v>
      </c>
      <c r="I375">
        <v>5</v>
      </c>
    </row>
    <row r="376" spans="1:9" x14ac:dyDescent="0.3">
      <c r="A376" t="s">
        <v>773</v>
      </c>
      <c r="B376" t="s">
        <v>774</v>
      </c>
      <c r="C376" t="s">
        <v>16</v>
      </c>
      <c r="D376" t="s">
        <v>69</v>
      </c>
      <c r="E376" s="5">
        <v>45391</v>
      </c>
      <c r="F376">
        <v>6</v>
      </c>
      <c r="G376" t="s">
        <v>13</v>
      </c>
      <c r="H376" s="6"/>
    </row>
    <row r="377" spans="1:9" x14ac:dyDescent="0.3">
      <c r="A377" t="s">
        <v>775</v>
      </c>
      <c r="B377" t="s">
        <v>776</v>
      </c>
      <c r="C377" t="s">
        <v>41</v>
      </c>
      <c r="D377" t="s">
        <v>69</v>
      </c>
      <c r="E377" s="5">
        <v>45344</v>
      </c>
      <c r="F377">
        <v>4</v>
      </c>
      <c r="G377" t="s">
        <v>18</v>
      </c>
      <c r="H377" s="6">
        <v>45344</v>
      </c>
      <c r="I377">
        <v>5</v>
      </c>
    </row>
    <row r="378" spans="1:9" x14ac:dyDescent="0.3">
      <c r="A378" t="s">
        <v>777</v>
      </c>
      <c r="B378" t="s">
        <v>778</v>
      </c>
      <c r="C378" t="s">
        <v>38</v>
      </c>
      <c r="D378" t="s">
        <v>31</v>
      </c>
      <c r="E378" s="5">
        <v>45519</v>
      </c>
      <c r="F378">
        <v>15</v>
      </c>
      <c r="G378" t="s">
        <v>18</v>
      </c>
      <c r="H378" s="6">
        <v>45519</v>
      </c>
      <c r="I378">
        <v>3</v>
      </c>
    </row>
    <row r="379" spans="1:9" x14ac:dyDescent="0.3">
      <c r="A379" t="s">
        <v>779</v>
      </c>
      <c r="B379" t="s">
        <v>780</v>
      </c>
      <c r="C379" t="s">
        <v>35</v>
      </c>
      <c r="D379" t="s">
        <v>31</v>
      </c>
      <c r="E379" s="5">
        <v>45591</v>
      </c>
      <c r="F379">
        <v>17</v>
      </c>
      <c r="G379" t="s">
        <v>18</v>
      </c>
      <c r="H379" s="6">
        <v>45591</v>
      </c>
      <c r="I379">
        <v>3</v>
      </c>
    </row>
    <row r="380" spans="1:9" x14ac:dyDescent="0.3">
      <c r="A380" t="s">
        <v>781</v>
      </c>
      <c r="B380" t="s">
        <v>782</v>
      </c>
      <c r="C380" t="s">
        <v>35</v>
      </c>
      <c r="D380" t="s">
        <v>12</v>
      </c>
      <c r="E380" s="5">
        <v>45306</v>
      </c>
      <c r="F380">
        <v>29</v>
      </c>
      <c r="G380" t="s">
        <v>18</v>
      </c>
      <c r="H380" s="6">
        <v>45307</v>
      </c>
      <c r="I380">
        <v>2</v>
      </c>
    </row>
    <row r="381" spans="1:9" x14ac:dyDescent="0.3">
      <c r="A381" t="s">
        <v>783</v>
      </c>
      <c r="B381" t="s">
        <v>784</v>
      </c>
      <c r="C381" t="s">
        <v>11</v>
      </c>
      <c r="D381" t="s">
        <v>17</v>
      </c>
      <c r="E381" s="5">
        <v>45357</v>
      </c>
      <c r="F381">
        <v>14</v>
      </c>
      <c r="G381" t="s">
        <v>18</v>
      </c>
      <c r="H381" s="6">
        <v>45357</v>
      </c>
      <c r="I381">
        <v>3</v>
      </c>
    </row>
    <row r="382" spans="1:9" x14ac:dyDescent="0.3">
      <c r="A382" t="s">
        <v>785</v>
      </c>
      <c r="B382" t="s">
        <v>786</v>
      </c>
      <c r="C382" t="s">
        <v>78</v>
      </c>
      <c r="D382" t="s">
        <v>12</v>
      </c>
      <c r="E382" s="5">
        <v>45303</v>
      </c>
      <c r="F382">
        <v>22</v>
      </c>
      <c r="G382" t="s">
        <v>32</v>
      </c>
      <c r="H382" s="6"/>
    </row>
    <row r="383" spans="1:9" x14ac:dyDescent="0.3">
      <c r="A383" t="s">
        <v>787</v>
      </c>
      <c r="B383" t="s">
        <v>788</v>
      </c>
      <c r="C383" t="s">
        <v>35</v>
      </c>
      <c r="D383" t="s">
        <v>12</v>
      </c>
      <c r="E383" s="5">
        <v>45418</v>
      </c>
      <c r="F383">
        <v>13</v>
      </c>
      <c r="G383" t="s">
        <v>13</v>
      </c>
      <c r="H383" s="6"/>
    </row>
    <row r="384" spans="1:9" x14ac:dyDescent="0.3">
      <c r="A384" t="s">
        <v>789</v>
      </c>
      <c r="B384" t="s">
        <v>790</v>
      </c>
      <c r="C384" t="s">
        <v>78</v>
      </c>
      <c r="D384" t="s">
        <v>12</v>
      </c>
      <c r="E384" s="5">
        <v>45648</v>
      </c>
      <c r="F384">
        <v>22</v>
      </c>
      <c r="G384" t="s">
        <v>18</v>
      </c>
      <c r="H384" s="6">
        <v>45648</v>
      </c>
      <c r="I384">
        <v>3</v>
      </c>
    </row>
    <row r="385" spans="1:9" x14ac:dyDescent="0.3">
      <c r="A385" t="s">
        <v>791</v>
      </c>
      <c r="B385" t="s">
        <v>792</v>
      </c>
      <c r="C385" t="s">
        <v>11</v>
      </c>
      <c r="D385" t="s">
        <v>69</v>
      </c>
      <c r="E385" s="5">
        <v>45590</v>
      </c>
      <c r="F385">
        <v>31</v>
      </c>
      <c r="G385" t="s">
        <v>18</v>
      </c>
      <c r="H385" s="6">
        <v>45591</v>
      </c>
      <c r="I385">
        <v>2</v>
      </c>
    </row>
    <row r="386" spans="1:9" x14ac:dyDescent="0.3">
      <c r="A386" t="s">
        <v>793</v>
      </c>
      <c r="B386" t="s">
        <v>794</v>
      </c>
      <c r="C386" t="s">
        <v>35</v>
      </c>
      <c r="D386" t="s">
        <v>12</v>
      </c>
      <c r="E386" s="5">
        <v>45304</v>
      </c>
      <c r="F386">
        <v>36</v>
      </c>
      <c r="G386" t="s">
        <v>13</v>
      </c>
      <c r="H386" s="6"/>
    </row>
    <row r="387" spans="1:9" x14ac:dyDescent="0.3">
      <c r="A387" t="s">
        <v>795</v>
      </c>
      <c r="B387" t="s">
        <v>796</v>
      </c>
      <c r="C387" t="s">
        <v>16</v>
      </c>
      <c r="D387" t="s">
        <v>69</v>
      </c>
      <c r="E387" s="5">
        <v>45533</v>
      </c>
      <c r="F387">
        <v>36</v>
      </c>
      <c r="G387" t="s">
        <v>18</v>
      </c>
      <c r="H387" s="6">
        <v>45534</v>
      </c>
      <c r="I387">
        <v>2</v>
      </c>
    </row>
    <row r="388" spans="1:9" x14ac:dyDescent="0.3">
      <c r="A388" t="s">
        <v>797</v>
      </c>
      <c r="B388" t="s">
        <v>798</v>
      </c>
      <c r="C388" t="s">
        <v>38</v>
      </c>
      <c r="D388" t="s">
        <v>31</v>
      </c>
      <c r="E388" s="5">
        <v>45470</v>
      </c>
      <c r="F388">
        <v>17</v>
      </c>
      <c r="G388" t="s">
        <v>13</v>
      </c>
      <c r="H388" s="6"/>
    </row>
    <row r="389" spans="1:9" x14ac:dyDescent="0.3">
      <c r="A389" t="s">
        <v>799</v>
      </c>
      <c r="B389" t="s">
        <v>800</v>
      </c>
      <c r="C389" t="s">
        <v>52</v>
      </c>
      <c r="D389" t="s">
        <v>31</v>
      </c>
      <c r="E389" s="5">
        <v>45443</v>
      </c>
      <c r="F389">
        <v>2</v>
      </c>
      <c r="G389" t="s">
        <v>18</v>
      </c>
      <c r="H389" s="6">
        <v>45443</v>
      </c>
      <c r="I389">
        <v>5</v>
      </c>
    </row>
    <row r="390" spans="1:9" x14ac:dyDescent="0.3">
      <c r="A390" t="s">
        <v>801</v>
      </c>
      <c r="B390" t="s">
        <v>802</v>
      </c>
      <c r="C390" t="s">
        <v>35</v>
      </c>
      <c r="D390" t="s">
        <v>31</v>
      </c>
      <c r="E390" s="5">
        <v>45551</v>
      </c>
      <c r="F390">
        <v>52</v>
      </c>
      <c r="G390" t="s">
        <v>18</v>
      </c>
      <c r="H390" s="6">
        <v>45553</v>
      </c>
      <c r="I390">
        <v>1</v>
      </c>
    </row>
    <row r="391" spans="1:9" x14ac:dyDescent="0.3">
      <c r="A391" t="s">
        <v>803</v>
      </c>
      <c r="B391" t="s">
        <v>804</v>
      </c>
      <c r="C391" t="s">
        <v>35</v>
      </c>
      <c r="D391" t="s">
        <v>17</v>
      </c>
      <c r="E391" s="5">
        <v>45327</v>
      </c>
      <c r="F391">
        <v>31</v>
      </c>
      <c r="G391" t="s">
        <v>18</v>
      </c>
      <c r="H391" s="6">
        <v>45328</v>
      </c>
      <c r="I391">
        <v>2</v>
      </c>
    </row>
    <row r="392" spans="1:9" x14ac:dyDescent="0.3">
      <c r="A392" t="s">
        <v>805</v>
      </c>
      <c r="B392" t="s">
        <v>806</v>
      </c>
      <c r="C392" t="s">
        <v>78</v>
      </c>
      <c r="D392" t="s">
        <v>31</v>
      </c>
      <c r="E392" s="5">
        <v>45368</v>
      </c>
      <c r="F392">
        <v>6</v>
      </c>
      <c r="G392" t="s">
        <v>18</v>
      </c>
      <c r="H392" s="6">
        <v>45368</v>
      </c>
      <c r="I392">
        <v>5</v>
      </c>
    </row>
    <row r="393" spans="1:9" x14ac:dyDescent="0.3">
      <c r="A393" t="s">
        <v>807</v>
      </c>
      <c r="B393" t="s">
        <v>808</v>
      </c>
      <c r="C393" t="s">
        <v>11</v>
      </c>
      <c r="D393" t="s">
        <v>69</v>
      </c>
      <c r="E393" s="5">
        <v>45420</v>
      </c>
      <c r="F393">
        <v>33</v>
      </c>
      <c r="G393" t="s">
        <v>18</v>
      </c>
      <c r="H393" s="6">
        <v>45421</v>
      </c>
      <c r="I393">
        <v>2</v>
      </c>
    </row>
    <row r="394" spans="1:9" x14ac:dyDescent="0.3">
      <c r="A394" t="s">
        <v>809</v>
      </c>
      <c r="B394" t="s">
        <v>810</v>
      </c>
      <c r="C394" t="s">
        <v>52</v>
      </c>
      <c r="D394" t="s">
        <v>12</v>
      </c>
      <c r="E394" s="5">
        <v>45387</v>
      </c>
      <c r="F394">
        <v>23</v>
      </c>
      <c r="G394" t="s">
        <v>13</v>
      </c>
      <c r="H394" s="6"/>
    </row>
    <row r="395" spans="1:9" x14ac:dyDescent="0.3">
      <c r="A395" t="s">
        <v>811</v>
      </c>
      <c r="B395" t="s">
        <v>812</v>
      </c>
      <c r="C395" t="s">
        <v>28</v>
      </c>
      <c r="D395" t="s">
        <v>12</v>
      </c>
      <c r="E395" s="5">
        <v>45403</v>
      </c>
      <c r="F395">
        <v>80</v>
      </c>
      <c r="G395" t="s">
        <v>18</v>
      </c>
      <c r="H395" s="6">
        <v>45406</v>
      </c>
      <c r="I395">
        <v>5</v>
      </c>
    </row>
    <row r="396" spans="1:9" x14ac:dyDescent="0.3">
      <c r="A396" t="s">
        <v>813</v>
      </c>
      <c r="B396" t="s">
        <v>814</v>
      </c>
      <c r="C396" t="s">
        <v>35</v>
      </c>
      <c r="D396" t="s">
        <v>17</v>
      </c>
      <c r="E396" s="5">
        <v>45467</v>
      </c>
      <c r="F396">
        <v>30</v>
      </c>
      <c r="G396" t="s">
        <v>18</v>
      </c>
      <c r="H396" s="6">
        <v>45468</v>
      </c>
      <c r="I396">
        <v>2</v>
      </c>
    </row>
    <row r="397" spans="1:9" x14ac:dyDescent="0.3">
      <c r="A397" t="s">
        <v>815</v>
      </c>
      <c r="B397" t="s">
        <v>816</v>
      </c>
      <c r="C397" t="s">
        <v>38</v>
      </c>
      <c r="D397" t="s">
        <v>17</v>
      </c>
      <c r="E397" s="5">
        <v>45653</v>
      </c>
      <c r="F397">
        <v>42</v>
      </c>
      <c r="G397" t="s">
        <v>18</v>
      </c>
      <c r="H397" s="6">
        <v>45654</v>
      </c>
      <c r="I397">
        <v>2</v>
      </c>
    </row>
    <row r="398" spans="1:9" x14ac:dyDescent="0.3">
      <c r="A398" t="s">
        <v>817</v>
      </c>
      <c r="B398" t="s">
        <v>818</v>
      </c>
      <c r="C398" t="s">
        <v>41</v>
      </c>
      <c r="D398" t="s">
        <v>31</v>
      </c>
      <c r="E398" s="5">
        <v>45306</v>
      </c>
      <c r="F398">
        <v>7</v>
      </c>
      <c r="G398" t="s">
        <v>13</v>
      </c>
      <c r="H398" s="6"/>
    </row>
    <row r="399" spans="1:9" x14ac:dyDescent="0.3">
      <c r="A399" t="s">
        <v>819</v>
      </c>
      <c r="B399" t="s">
        <v>820</v>
      </c>
      <c r="C399" t="s">
        <v>11</v>
      </c>
      <c r="D399" t="s">
        <v>17</v>
      </c>
      <c r="E399" s="5">
        <v>45380</v>
      </c>
      <c r="F399">
        <v>18</v>
      </c>
      <c r="G399" t="s">
        <v>32</v>
      </c>
      <c r="H399" s="6"/>
    </row>
    <row r="400" spans="1:9" x14ac:dyDescent="0.3">
      <c r="A400" t="s">
        <v>821</v>
      </c>
      <c r="B400" t="s">
        <v>822</v>
      </c>
      <c r="C400" t="s">
        <v>38</v>
      </c>
      <c r="D400" t="s">
        <v>23</v>
      </c>
      <c r="E400" s="5">
        <v>45346</v>
      </c>
      <c r="F400">
        <v>31</v>
      </c>
      <c r="G400" t="s">
        <v>18</v>
      </c>
      <c r="H400" s="6">
        <v>45347</v>
      </c>
      <c r="I400">
        <v>2</v>
      </c>
    </row>
    <row r="401" spans="1:9" x14ac:dyDescent="0.3">
      <c r="A401" t="s">
        <v>823</v>
      </c>
      <c r="B401" t="s">
        <v>824</v>
      </c>
      <c r="C401" t="s">
        <v>38</v>
      </c>
      <c r="D401" t="s">
        <v>23</v>
      </c>
      <c r="E401" s="5">
        <v>45335</v>
      </c>
      <c r="F401">
        <v>18</v>
      </c>
      <c r="G401" t="s">
        <v>13</v>
      </c>
      <c r="H401" s="6"/>
    </row>
    <row r="402" spans="1:9" x14ac:dyDescent="0.3">
      <c r="A402" t="s">
        <v>825</v>
      </c>
      <c r="B402" t="s">
        <v>826</v>
      </c>
      <c r="C402" t="s">
        <v>11</v>
      </c>
      <c r="D402" t="s">
        <v>17</v>
      </c>
      <c r="E402" s="5">
        <v>45461</v>
      </c>
      <c r="F402">
        <v>44</v>
      </c>
      <c r="G402" t="s">
        <v>18</v>
      </c>
      <c r="H402" s="6">
        <v>45462</v>
      </c>
      <c r="I402">
        <v>2</v>
      </c>
    </row>
    <row r="403" spans="1:9" x14ac:dyDescent="0.3">
      <c r="A403" t="s">
        <v>827</v>
      </c>
      <c r="B403" t="s">
        <v>828</v>
      </c>
      <c r="C403" t="s">
        <v>35</v>
      </c>
      <c r="D403" t="s">
        <v>23</v>
      </c>
      <c r="E403" s="5">
        <v>45374</v>
      </c>
      <c r="F403">
        <v>72</v>
      </c>
      <c r="G403" t="s">
        <v>18</v>
      </c>
      <c r="H403" s="6">
        <v>45377</v>
      </c>
      <c r="I403">
        <v>1</v>
      </c>
    </row>
    <row r="404" spans="1:9" x14ac:dyDescent="0.3">
      <c r="A404" t="s">
        <v>829</v>
      </c>
      <c r="B404" t="s">
        <v>830</v>
      </c>
      <c r="C404" t="s">
        <v>28</v>
      </c>
      <c r="D404" t="s">
        <v>17</v>
      </c>
      <c r="E404" s="5">
        <v>45539</v>
      </c>
      <c r="F404">
        <v>50</v>
      </c>
      <c r="G404" t="s">
        <v>32</v>
      </c>
      <c r="H404" s="6"/>
    </row>
    <row r="405" spans="1:9" x14ac:dyDescent="0.3">
      <c r="A405" t="s">
        <v>831</v>
      </c>
      <c r="B405" t="s">
        <v>832</v>
      </c>
      <c r="C405" t="s">
        <v>35</v>
      </c>
      <c r="D405" t="s">
        <v>17</v>
      </c>
      <c r="E405" s="5">
        <v>45510</v>
      </c>
      <c r="F405">
        <v>18</v>
      </c>
      <c r="G405" t="s">
        <v>13</v>
      </c>
      <c r="H405" s="6"/>
    </row>
    <row r="406" spans="1:9" x14ac:dyDescent="0.3">
      <c r="A406" t="s">
        <v>833</v>
      </c>
      <c r="B406" t="s">
        <v>834</v>
      </c>
      <c r="C406" t="s">
        <v>41</v>
      </c>
      <c r="D406" t="s">
        <v>31</v>
      </c>
      <c r="E406" s="5">
        <v>45387</v>
      </c>
      <c r="F406">
        <v>9</v>
      </c>
      <c r="G406" t="s">
        <v>18</v>
      </c>
      <c r="H406" s="6">
        <v>45387</v>
      </c>
      <c r="I406">
        <v>4</v>
      </c>
    </row>
    <row r="407" spans="1:9" x14ac:dyDescent="0.3">
      <c r="A407" t="s">
        <v>835</v>
      </c>
      <c r="B407" t="s">
        <v>836</v>
      </c>
      <c r="C407" t="s">
        <v>41</v>
      </c>
      <c r="D407" t="s">
        <v>69</v>
      </c>
      <c r="E407" s="5">
        <v>45603</v>
      </c>
      <c r="F407">
        <v>11</v>
      </c>
      <c r="G407" t="s">
        <v>18</v>
      </c>
      <c r="H407" s="6">
        <v>45603</v>
      </c>
      <c r="I407">
        <v>4</v>
      </c>
    </row>
    <row r="408" spans="1:9" x14ac:dyDescent="0.3">
      <c r="A408" t="s">
        <v>837</v>
      </c>
      <c r="B408" t="s">
        <v>838</v>
      </c>
      <c r="C408" t="s">
        <v>78</v>
      </c>
      <c r="D408" t="s">
        <v>12</v>
      </c>
      <c r="E408" s="5">
        <v>45476</v>
      </c>
      <c r="F408">
        <v>17</v>
      </c>
      <c r="G408" t="s">
        <v>18</v>
      </c>
      <c r="H408" s="6">
        <v>45476</v>
      </c>
      <c r="I408">
        <v>3</v>
      </c>
    </row>
    <row r="409" spans="1:9" x14ac:dyDescent="0.3">
      <c r="A409" t="s">
        <v>839</v>
      </c>
      <c r="B409" t="s">
        <v>840</v>
      </c>
      <c r="C409" t="s">
        <v>78</v>
      </c>
      <c r="D409" t="s">
        <v>17</v>
      </c>
      <c r="E409" s="5">
        <v>45648</v>
      </c>
      <c r="F409">
        <v>13</v>
      </c>
      <c r="G409" t="s">
        <v>18</v>
      </c>
      <c r="H409" s="6">
        <v>45648</v>
      </c>
      <c r="I409">
        <v>5</v>
      </c>
    </row>
    <row r="410" spans="1:9" x14ac:dyDescent="0.3">
      <c r="A410" t="s">
        <v>841</v>
      </c>
      <c r="B410" t="s">
        <v>842</v>
      </c>
      <c r="C410" t="s">
        <v>38</v>
      </c>
      <c r="D410" t="s">
        <v>23</v>
      </c>
      <c r="E410" s="5">
        <v>45378</v>
      </c>
      <c r="F410">
        <v>25</v>
      </c>
      <c r="G410" t="s">
        <v>18</v>
      </c>
      <c r="H410" s="6">
        <v>45379</v>
      </c>
      <c r="I410">
        <v>2</v>
      </c>
    </row>
    <row r="411" spans="1:9" x14ac:dyDescent="0.3">
      <c r="A411" t="s">
        <v>843</v>
      </c>
      <c r="B411" t="s">
        <v>844</v>
      </c>
      <c r="C411" t="s">
        <v>52</v>
      </c>
      <c r="D411" t="s">
        <v>31</v>
      </c>
      <c r="E411" s="5">
        <v>45441</v>
      </c>
      <c r="F411">
        <v>19</v>
      </c>
      <c r="G411" t="s">
        <v>18</v>
      </c>
      <c r="H411" s="6">
        <v>45441</v>
      </c>
      <c r="I411">
        <v>5</v>
      </c>
    </row>
    <row r="412" spans="1:9" x14ac:dyDescent="0.3">
      <c r="A412" t="s">
        <v>845</v>
      </c>
      <c r="B412" t="s">
        <v>846</v>
      </c>
      <c r="C412" t="s">
        <v>35</v>
      </c>
      <c r="D412" t="s">
        <v>12</v>
      </c>
      <c r="E412" s="5">
        <v>45334</v>
      </c>
      <c r="F412">
        <v>57</v>
      </c>
      <c r="G412" t="s">
        <v>18</v>
      </c>
      <c r="H412" s="6">
        <v>45336</v>
      </c>
      <c r="I412">
        <v>5</v>
      </c>
    </row>
    <row r="413" spans="1:9" x14ac:dyDescent="0.3">
      <c r="A413" t="s">
        <v>847</v>
      </c>
      <c r="B413" t="s">
        <v>848</v>
      </c>
      <c r="C413" t="s">
        <v>16</v>
      </c>
      <c r="D413" t="s">
        <v>31</v>
      </c>
      <c r="E413" s="5">
        <v>45341</v>
      </c>
      <c r="F413">
        <v>28</v>
      </c>
      <c r="G413" t="s">
        <v>32</v>
      </c>
      <c r="H413" s="6"/>
    </row>
    <row r="414" spans="1:9" x14ac:dyDescent="0.3">
      <c r="A414" t="s">
        <v>849</v>
      </c>
      <c r="B414" t="s">
        <v>850</v>
      </c>
      <c r="C414" t="s">
        <v>78</v>
      </c>
      <c r="D414" t="s">
        <v>12</v>
      </c>
      <c r="E414" s="5">
        <v>45602</v>
      </c>
      <c r="F414">
        <v>16</v>
      </c>
      <c r="G414" t="s">
        <v>18</v>
      </c>
      <c r="H414" s="6">
        <v>45602</v>
      </c>
      <c r="I414">
        <v>3</v>
      </c>
    </row>
    <row r="415" spans="1:9" x14ac:dyDescent="0.3">
      <c r="A415" t="s">
        <v>851</v>
      </c>
      <c r="B415" t="s">
        <v>852</v>
      </c>
      <c r="C415" t="s">
        <v>78</v>
      </c>
      <c r="D415" t="s">
        <v>17</v>
      </c>
      <c r="E415" s="5">
        <v>45364</v>
      </c>
      <c r="F415">
        <v>22</v>
      </c>
      <c r="G415" t="s">
        <v>18</v>
      </c>
      <c r="H415" s="6">
        <v>45364</v>
      </c>
      <c r="I415">
        <v>3</v>
      </c>
    </row>
    <row r="416" spans="1:9" x14ac:dyDescent="0.3">
      <c r="A416" t="s">
        <v>853</v>
      </c>
      <c r="B416" t="s">
        <v>854</v>
      </c>
      <c r="C416" t="s">
        <v>41</v>
      </c>
      <c r="D416" t="s">
        <v>17</v>
      </c>
      <c r="E416" s="5">
        <v>45335</v>
      </c>
      <c r="F416">
        <v>4</v>
      </c>
      <c r="G416" t="s">
        <v>18</v>
      </c>
      <c r="H416" s="6">
        <v>45335</v>
      </c>
      <c r="I416">
        <v>5</v>
      </c>
    </row>
    <row r="417" spans="1:9" x14ac:dyDescent="0.3">
      <c r="A417" t="s">
        <v>855</v>
      </c>
      <c r="B417" t="s">
        <v>856</v>
      </c>
      <c r="C417" t="s">
        <v>35</v>
      </c>
      <c r="D417" t="s">
        <v>12</v>
      </c>
      <c r="E417" s="5">
        <v>45490</v>
      </c>
      <c r="F417">
        <v>6</v>
      </c>
      <c r="G417" t="s">
        <v>18</v>
      </c>
      <c r="H417" s="6">
        <v>45490</v>
      </c>
      <c r="I417">
        <v>5</v>
      </c>
    </row>
    <row r="418" spans="1:9" x14ac:dyDescent="0.3">
      <c r="A418" t="s">
        <v>857</v>
      </c>
      <c r="B418" t="s">
        <v>858</v>
      </c>
      <c r="C418" t="s">
        <v>35</v>
      </c>
      <c r="D418" t="s">
        <v>12</v>
      </c>
      <c r="E418" s="5">
        <v>45522</v>
      </c>
      <c r="F418">
        <v>35</v>
      </c>
      <c r="G418" t="s">
        <v>18</v>
      </c>
      <c r="H418" s="6">
        <v>45523</v>
      </c>
      <c r="I418">
        <v>2</v>
      </c>
    </row>
    <row r="419" spans="1:9" x14ac:dyDescent="0.3">
      <c r="A419" t="s">
        <v>859</v>
      </c>
      <c r="B419" t="s">
        <v>860</v>
      </c>
      <c r="C419" t="s">
        <v>16</v>
      </c>
      <c r="D419" t="s">
        <v>69</v>
      </c>
      <c r="E419" s="5">
        <v>45314</v>
      </c>
      <c r="F419">
        <v>29</v>
      </c>
      <c r="G419" t="s">
        <v>13</v>
      </c>
      <c r="H419" s="6"/>
    </row>
    <row r="420" spans="1:9" x14ac:dyDescent="0.3">
      <c r="A420" t="s">
        <v>861</v>
      </c>
      <c r="B420" t="s">
        <v>862</v>
      </c>
      <c r="C420" t="s">
        <v>28</v>
      </c>
      <c r="D420" t="s">
        <v>23</v>
      </c>
      <c r="E420" s="5">
        <v>45546</v>
      </c>
      <c r="F420">
        <v>89</v>
      </c>
      <c r="G420" t="s">
        <v>13</v>
      </c>
      <c r="H420" s="6"/>
    </row>
    <row r="421" spans="1:9" x14ac:dyDescent="0.3">
      <c r="A421" t="s">
        <v>863</v>
      </c>
      <c r="B421" t="s">
        <v>864</v>
      </c>
      <c r="C421" t="s">
        <v>38</v>
      </c>
      <c r="D421" t="s">
        <v>12</v>
      </c>
      <c r="E421" s="5">
        <v>45484</v>
      </c>
      <c r="F421">
        <v>54</v>
      </c>
      <c r="G421" t="s">
        <v>13</v>
      </c>
      <c r="H421" s="6"/>
    </row>
    <row r="422" spans="1:9" x14ac:dyDescent="0.3">
      <c r="A422" t="s">
        <v>865</v>
      </c>
      <c r="B422" t="s">
        <v>866</v>
      </c>
      <c r="C422" t="s">
        <v>78</v>
      </c>
      <c r="D422" t="s">
        <v>31</v>
      </c>
      <c r="E422" s="5">
        <v>45426</v>
      </c>
      <c r="F422">
        <v>8</v>
      </c>
      <c r="G422" t="s">
        <v>18</v>
      </c>
      <c r="H422" s="6">
        <v>45426</v>
      </c>
      <c r="I422">
        <v>4</v>
      </c>
    </row>
    <row r="423" spans="1:9" x14ac:dyDescent="0.3">
      <c r="A423" t="s">
        <v>867</v>
      </c>
      <c r="B423" t="s">
        <v>868</v>
      </c>
      <c r="C423" t="s">
        <v>38</v>
      </c>
      <c r="D423" t="s">
        <v>12</v>
      </c>
      <c r="E423" s="5">
        <v>45370</v>
      </c>
      <c r="F423">
        <v>26</v>
      </c>
      <c r="G423" t="s">
        <v>18</v>
      </c>
      <c r="H423" s="6">
        <v>45371</v>
      </c>
      <c r="I423">
        <v>2</v>
      </c>
    </row>
    <row r="424" spans="1:9" x14ac:dyDescent="0.3">
      <c r="A424" t="s">
        <v>869</v>
      </c>
      <c r="B424" t="s">
        <v>870</v>
      </c>
      <c r="C424" t="s">
        <v>11</v>
      </c>
      <c r="D424" t="s">
        <v>31</v>
      </c>
      <c r="E424" s="5">
        <v>45473</v>
      </c>
      <c r="F424">
        <v>24</v>
      </c>
      <c r="G424" t="s">
        <v>18</v>
      </c>
      <c r="H424" s="6">
        <v>45474</v>
      </c>
      <c r="I424">
        <v>3</v>
      </c>
    </row>
    <row r="425" spans="1:9" x14ac:dyDescent="0.3">
      <c r="A425" t="s">
        <v>871</v>
      </c>
      <c r="B425" t="s">
        <v>872</v>
      </c>
      <c r="C425" t="s">
        <v>78</v>
      </c>
      <c r="D425" t="s">
        <v>23</v>
      </c>
      <c r="E425" s="5">
        <v>45303</v>
      </c>
      <c r="F425">
        <v>8</v>
      </c>
      <c r="G425" t="s">
        <v>18</v>
      </c>
      <c r="H425" s="6">
        <v>45303</v>
      </c>
      <c r="I425">
        <v>4</v>
      </c>
    </row>
    <row r="426" spans="1:9" x14ac:dyDescent="0.3">
      <c r="A426" t="s">
        <v>873</v>
      </c>
      <c r="B426" t="s">
        <v>874</v>
      </c>
      <c r="C426" t="s">
        <v>41</v>
      </c>
      <c r="D426" t="s">
        <v>69</v>
      </c>
      <c r="E426" s="5">
        <v>45625</v>
      </c>
      <c r="F426">
        <v>10</v>
      </c>
      <c r="G426" t="s">
        <v>18</v>
      </c>
      <c r="H426" s="6">
        <v>45625</v>
      </c>
      <c r="I426">
        <v>4</v>
      </c>
    </row>
    <row r="427" spans="1:9" x14ac:dyDescent="0.3">
      <c r="A427" t="s">
        <v>875</v>
      </c>
      <c r="B427" t="s">
        <v>876</v>
      </c>
      <c r="C427" t="s">
        <v>11</v>
      </c>
      <c r="D427" t="s">
        <v>23</v>
      </c>
      <c r="E427" s="5">
        <v>45363</v>
      </c>
      <c r="F427">
        <v>28</v>
      </c>
      <c r="G427" t="s">
        <v>18</v>
      </c>
      <c r="H427" s="6">
        <v>45364</v>
      </c>
      <c r="I427">
        <v>2</v>
      </c>
    </row>
    <row r="428" spans="1:9" x14ac:dyDescent="0.3">
      <c r="A428" t="s">
        <v>877</v>
      </c>
      <c r="B428" t="s">
        <v>878</v>
      </c>
      <c r="C428" t="s">
        <v>38</v>
      </c>
      <c r="D428" t="s">
        <v>69</v>
      </c>
      <c r="E428" s="5">
        <v>45627</v>
      </c>
      <c r="F428">
        <v>35</v>
      </c>
      <c r="G428" t="s">
        <v>18</v>
      </c>
      <c r="H428" s="6">
        <v>45628</v>
      </c>
      <c r="I428">
        <v>2</v>
      </c>
    </row>
    <row r="429" spans="1:9" x14ac:dyDescent="0.3">
      <c r="A429" t="s">
        <v>879</v>
      </c>
      <c r="B429" t="s">
        <v>880</v>
      </c>
      <c r="C429" t="s">
        <v>41</v>
      </c>
      <c r="D429" t="s">
        <v>69</v>
      </c>
      <c r="E429" s="5">
        <v>45533</v>
      </c>
      <c r="F429">
        <v>12</v>
      </c>
      <c r="G429" t="s">
        <v>13</v>
      </c>
      <c r="H429" s="6"/>
    </row>
    <row r="430" spans="1:9" x14ac:dyDescent="0.3">
      <c r="A430" t="s">
        <v>881</v>
      </c>
      <c r="B430" t="s">
        <v>882</v>
      </c>
      <c r="C430" t="s">
        <v>35</v>
      </c>
      <c r="D430" t="s">
        <v>17</v>
      </c>
      <c r="E430" s="5">
        <v>45354</v>
      </c>
      <c r="F430">
        <v>60</v>
      </c>
      <c r="G430" t="s">
        <v>18</v>
      </c>
      <c r="H430" s="6">
        <v>45356</v>
      </c>
      <c r="I430">
        <v>1</v>
      </c>
    </row>
    <row r="431" spans="1:9" x14ac:dyDescent="0.3">
      <c r="A431" t="s">
        <v>883</v>
      </c>
      <c r="B431" t="s">
        <v>884</v>
      </c>
      <c r="C431" t="s">
        <v>41</v>
      </c>
      <c r="D431" t="s">
        <v>69</v>
      </c>
      <c r="E431" s="5">
        <v>45559</v>
      </c>
      <c r="F431">
        <v>6</v>
      </c>
      <c r="G431" t="s">
        <v>18</v>
      </c>
      <c r="H431" s="6">
        <v>45559</v>
      </c>
      <c r="I431">
        <v>5</v>
      </c>
    </row>
    <row r="432" spans="1:9" x14ac:dyDescent="0.3">
      <c r="A432" t="s">
        <v>885</v>
      </c>
      <c r="B432" t="s">
        <v>886</v>
      </c>
      <c r="C432" t="s">
        <v>16</v>
      </c>
      <c r="D432" t="s">
        <v>31</v>
      </c>
      <c r="E432" s="5">
        <v>45644</v>
      </c>
      <c r="F432">
        <v>10</v>
      </c>
      <c r="G432" t="s">
        <v>18</v>
      </c>
      <c r="H432" s="6">
        <v>45644</v>
      </c>
      <c r="I432">
        <v>4</v>
      </c>
    </row>
    <row r="433" spans="1:9" x14ac:dyDescent="0.3">
      <c r="A433" t="s">
        <v>887</v>
      </c>
      <c r="B433" t="s">
        <v>888</v>
      </c>
      <c r="C433" t="s">
        <v>28</v>
      </c>
      <c r="D433" t="s">
        <v>23</v>
      </c>
      <c r="E433" s="5">
        <v>45468</v>
      </c>
      <c r="F433">
        <v>54</v>
      </c>
      <c r="G433" t="s">
        <v>13</v>
      </c>
      <c r="H433" s="6"/>
    </row>
    <row r="434" spans="1:9" x14ac:dyDescent="0.3">
      <c r="A434" t="s">
        <v>889</v>
      </c>
      <c r="B434" t="s">
        <v>890</v>
      </c>
      <c r="C434" t="s">
        <v>38</v>
      </c>
      <c r="D434" t="s">
        <v>17</v>
      </c>
      <c r="E434" s="5">
        <v>45657</v>
      </c>
      <c r="F434">
        <v>14</v>
      </c>
      <c r="G434" t="s">
        <v>18</v>
      </c>
      <c r="H434" s="6">
        <v>45657</v>
      </c>
      <c r="I434">
        <v>3</v>
      </c>
    </row>
    <row r="435" spans="1:9" x14ac:dyDescent="0.3">
      <c r="A435" t="s">
        <v>891</v>
      </c>
      <c r="B435" t="s">
        <v>892</v>
      </c>
      <c r="C435" t="s">
        <v>52</v>
      </c>
      <c r="D435" t="s">
        <v>69</v>
      </c>
      <c r="E435" s="5">
        <v>45462</v>
      </c>
      <c r="F435">
        <v>4</v>
      </c>
      <c r="G435" t="s">
        <v>18</v>
      </c>
      <c r="H435" s="6">
        <v>45462</v>
      </c>
      <c r="I435">
        <v>5</v>
      </c>
    </row>
    <row r="436" spans="1:9" x14ac:dyDescent="0.3">
      <c r="A436" t="s">
        <v>893</v>
      </c>
      <c r="B436" t="s">
        <v>894</v>
      </c>
      <c r="C436" t="s">
        <v>78</v>
      </c>
      <c r="D436" t="s">
        <v>23</v>
      </c>
      <c r="E436" s="5">
        <v>45657</v>
      </c>
      <c r="F436">
        <v>15</v>
      </c>
      <c r="G436" t="s">
        <v>13</v>
      </c>
      <c r="H436" s="6"/>
    </row>
    <row r="437" spans="1:9" x14ac:dyDescent="0.3">
      <c r="A437" t="s">
        <v>895</v>
      </c>
      <c r="B437" t="s">
        <v>896</v>
      </c>
      <c r="C437" t="s">
        <v>16</v>
      </c>
      <c r="D437" t="s">
        <v>12</v>
      </c>
      <c r="E437" s="5">
        <v>45653</v>
      </c>
      <c r="F437">
        <v>18</v>
      </c>
      <c r="G437" t="s">
        <v>18</v>
      </c>
      <c r="H437" s="6">
        <v>45653</v>
      </c>
      <c r="I437">
        <v>5</v>
      </c>
    </row>
    <row r="438" spans="1:9" x14ac:dyDescent="0.3">
      <c r="A438" t="s">
        <v>897</v>
      </c>
      <c r="B438" t="s">
        <v>898</v>
      </c>
      <c r="C438" t="s">
        <v>41</v>
      </c>
      <c r="D438" t="s">
        <v>69</v>
      </c>
      <c r="E438" s="5">
        <v>45560</v>
      </c>
      <c r="F438">
        <v>8</v>
      </c>
      <c r="G438" t="s">
        <v>13</v>
      </c>
      <c r="H438" s="6"/>
    </row>
    <row r="439" spans="1:9" x14ac:dyDescent="0.3">
      <c r="A439" t="s">
        <v>899</v>
      </c>
      <c r="B439" t="s">
        <v>900</v>
      </c>
      <c r="C439" t="s">
        <v>41</v>
      </c>
      <c r="D439" t="s">
        <v>17</v>
      </c>
      <c r="E439" s="5">
        <v>45425</v>
      </c>
      <c r="F439">
        <v>11</v>
      </c>
      <c r="G439" t="s">
        <v>18</v>
      </c>
      <c r="H439" s="6">
        <v>45425</v>
      </c>
      <c r="I439">
        <v>4</v>
      </c>
    </row>
    <row r="440" spans="1:9" x14ac:dyDescent="0.3">
      <c r="A440" t="s">
        <v>901</v>
      </c>
      <c r="B440" t="s">
        <v>902</v>
      </c>
      <c r="C440" t="s">
        <v>78</v>
      </c>
      <c r="D440" t="s">
        <v>17</v>
      </c>
      <c r="E440" s="5">
        <v>45294</v>
      </c>
      <c r="F440">
        <v>13</v>
      </c>
      <c r="G440" t="s">
        <v>32</v>
      </c>
      <c r="H440" s="6"/>
    </row>
    <row r="441" spans="1:9" x14ac:dyDescent="0.3">
      <c r="A441" t="s">
        <v>903</v>
      </c>
      <c r="B441" t="s">
        <v>904</v>
      </c>
      <c r="C441" t="s">
        <v>38</v>
      </c>
      <c r="D441" t="s">
        <v>69</v>
      </c>
      <c r="E441" s="5">
        <v>45515</v>
      </c>
      <c r="F441">
        <v>49</v>
      </c>
      <c r="G441" t="s">
        <v>13</v>
      </c>
      <c r="H441" s="6"/>
    </row>
    <row r="442" spans="1:9" x14ac:dyDescent="0.3">
      <c r="A442" t="s">
        <v>905</v>
      </c>
      <c r="B442" t="s">
        <v>906</v>
      </c>
      <c r="C442" t="s">
        <v>78</v>
      </c>
      <c r="D442" t="s">
        <v>31</v>
      </c>
      <c r="E442" s="5">
        <v>45299</v>
      </c>
      <c r="F442">
        <v>2</v>
      </c>
      <c r="G442" t="s">
        <v>13</v>
      </c>
      <c r="H442" s="6"/>
    </row>
    <row r="443" spans="1:9" x14ac:dyDescent="0.3">
      <c r="A443" t="s">
        <v>907</v>
      </c>
      <c r="B443" t="s">
        <v>908</v>
      </c>
      <c r="C443" t="s">
        <v>41</v>
      </c>
      <c r="D443" t="s">
        <v>12</v>
      </c>
      <c r="E443" s="5">
        <v>45506</v>
      </c>
      <c r="F443">
        <v>3</v>
      </c>
      <c r="G443" t="s">
        <v>18</v>
      </c>
      <c r="H443" s="6">
        <v>45506</v>
      </c>
      <c r="I443">
        <v>5</v>
      </c>
    </row>
    <row r="444" spans="1:9" x14ac:dyDescent="0.3">
      <c r="A444" t="s">
        <v>909</v>
      </c>
      <c r="B444" t="s">
        <v>910</v>
      </c>
      <c r="C444" t="s">
        <v>28</v>
      </c>
      <c r="D444" t="s">
        <v>17</v>
      </c>
      <c r="E444" s="5">
        <v>45327</v>
      </c>
      <c r="F444">
        <v>42</v>
      </c>
      <c r="G444" t="s">
        <v>18</v>
      </c>
      <c r="H444" s="6">
        <v>45328</v>
      </c>
      <c r="I444">
        <v>2</v>
      </c>
    </row>
    <row r="445" spans="1:9" x14ac:dyDescent="0.3">
      <c r="A445" t="s">
        <v>911</v>
      </c>
      <c r="B445" t="s">
        <v>912</v>
      </c>
      <c r="C445" t="s">
        <v>78</v>
      </c>
      <c r="D445" t="s">
        <v>12</v>
      </c>
      <c r="E445" s="5">
        <v>45425</v>
      </c>
      <c r="F445">
        <v>13</v>
      </c>
      <c r="G445" t="s">
        <v>32</v>
      </c>
      <c r="H445" s="6"/>
    </row>
    <row r="446" spans="1:9" x14ac:dyDescent="0.3">
      <c r="A446" t="s">
        <v>913</v>
      </c>
      <c r="B446" t="s">
        <v>914</v>
      </c>
      <c r="C446" t="s">
        <v>52</v>
      </c>
      <c r="D446" t="s">
        <v>31</v>
      </c>
      <c r="E446" s="5">
        <v>45345</v>
      </c>
      <c r="F446">
        <v>11</v>
      </c>
      <c r="G446" t="s">
        <v>18</v>
      </c>
      <c r="H446" s="6">
        <v>45345</v>
      </c>
      <c r="I446">
        <v>4</v>
      </c>
    </row>
    <row r="447" spans="1:9" x14ac:dyDescent="0.3">
      <c r="A447" t="s">
        <v>915</v>
      </c>
      <c r="B447" t="s">
        <v>916</v>
      </c>
      <c r="C447" t="s">
        <v>52</v>
      </c>
      <c r="D447" t="s">
        <v>69</v>
      </c>
      <c r="E447" s="5">
        <v>45576</v>
      </c>
      <c r="F447">
        <v>17</v>
      </c>
      <c r="G447" t="s">
        <v>18</v>
      </c>
      <c r="H447" s="6">
        <v>45576</v>
      </c>
      <c r="I447">
        <v>3</v>
      </c>
    </row>
    <row r="448" spans="1:9" x14ac:dyDescent="0.3">
      <c r="A448" t="s">
        <v>917</v>
      </c>
      <c r="B448" t="s">
        <v>918</v>
      </c>
      <c r="C448" t="s">
        <v>38</v>
      </c>
      <c r="D448" t="s">
        <v>12</v>
      </c>
      <c r="E448" s="5">
        <v>45492</v>
      </c>
      <c r="F448">
        <v>38</v>
      </c>
      <c r="G448" t="s">
        <v>18</v>
      </c>
      <c r="H448" s="6">
        <v>45493</v>
      </c>
      <c r="I448">
        <v>2</v>
      </c>
    </row>
    <row r="449" spans="1:9" x14ac:dyDescent="0.3">
      <c r="A449" t="s">
        <v>919</v>
      </c>
      <c r="B449" t="s">
        <v>920</v>
      </c>
      <c r="C449" t="s">
        <v>78</v>
      </c>
      <c r="D449" t="s">
        <v>23</v>
      </c>
      <c r="E449" s="5">
        <v>45453</v>
      </c>
      <c r="F449">
        <v>6</v>
      </c>
      <c r="G449" t="s">
        <v>18</v>
      </c>
      <c r="H449" s="6">
        <v>45453</v>
      </c>
      <c r="I449">
        <v>5</v>
      </c>
    </row>
    <row r="450" spans="1:9" x14ac:dyDescent="0.3">
      <c r="A450" t="s">
        <v>921</v>
      </c>
      <c r="B450" t="s">
        <v>922</v>
      </c>
      <c r="C450" t="s">
        <v>52</v>
      </c>
      <c r="D450" t="s">
        <v>23</v>
      </c>
      <c r="E450" s="5">
        <v>45522</v>
      </c>
      <c r="F450">
        <v>21</v>
      </c>
      <c r="G450" t="s">
        <v>13</v>
      </c>
      <c r="H450" s="6"/>
    </row>
    <row r="451" spans="1:9" x14ac:dyDescent="0.3">
      <c r="A451" t="s">
        <v>923</v>
      </c>
      <c r="B451" t="s">
        <v>924</v>
      </c>
      <c r="C451" t="s">
        <v>38</v>
      </c>
      <c r="D451" t="s">
        <v>23</v>
      </c>
      <c r="E451" s="5">
        <v>45521</v>
      </c>
      <c r="F451">
        <v>16</v>
      </c>
      <c r="G451" t="s">
        <v>18</v>
      </c>
      <c r="H451" s="6">
        <v>45521</v>
      </c>
      <c r="I451">
        <v>5</v>
      </c>
    </row>
    <row r="452" spans="1:9" x14ac:dyDescent="0.3">
      <c r="A452" t="s">
        <v>925</v>
      </c>
      <c r="B452" t="s">
        <v>926</v>
      </c>
      <c r="C452" t="s">
        <v>28</v>
      </c>
      <c r="D452" t="s">
        <v>23</v>
      </c>
      <c r="E452" s="5">
        <v>45305</v>
      </c>
      <c r="F452">
        <v>92</v>
      </c>
      <c r="G452" t="s">
        <v>18</v>
      </c>
      <c r="H452" s="6">
        <v>45308</v>
      </c>
      <c r="I452">
        <v>1</v>
      </c>
    </row>
    <row r="453" spans="1:9" x14ac:dyDescent="0.3">
      <c r="A453" t="s">
        <v>927</v>
      </c>
      <c r="B453" t="s">
        <v>928</v>
      </c>
      <c r="C453" t="s">
        <v>28</v>
      </c>
      <c r="D453" t="s">
        <v>23</v>
      </c>
      <c r="E453" s="5">
        <v>45352</v>
      </c>
      <c r="F453">
        <v>45</v>
      </c>
      <c r="G453" t="s">
        <v>18</v>
      </c>
      <c r="H453" s="6">
        <v>45353</v>
      </c>
      <c r="I453">
        <v>5</v>
      </c>
    </row>
    <row r="454" spans="1:9" x14ac:dyDescent="0.3">
      <c r="A454" t="s">
        <v>929</v>
      </c>
      <c r="B454" t="s">
        <v>930</v>
      </c>
      <c r="C454" t="s">
        <v>52</v>
      </c>
      <c r="D454" t="s">
        <v>17</v>
      </c>
      <c r="E454" s="5">
        <v>45345</v>
      </c>
      <c r="F454">
        <v>24</v>
      </c>
      <c r="G454" t="s">
        <v>18</v>
      </c>
      <c r="H454" s="6">
        <v>45346</v>
      </c>
      <c r="I454">
        <v>3</v>
      </c>
    </row>
    <row r="455" spans="1:9" x14ac:dyDescent="0.3">
      <c r="A455" t="s">
        <v>931</v>
      </c>
      <c r="B455" t="s">
        <v>932</v>
      </c>
      <c r="C455" t="s">
        <v>16</v>
      </c>
      <c r="D455" t="s">
        <v>23</v>
      </c>
      <c r="E455" s="5">
        <v>45326</v>
      </c>
      <c r="F455">
        <v>25</v>
      </c>
      <c r="G455" t="s">
        <v>18</v>
      </c>
      <c r="H455" s="6">
        <v>45327</v>
      </c>
      <c r="I455">
        <v>2</v>
      </c>
    </row>
    <row r="456" spans="1:9" x14ac:dyDescent="0.3">
      <c r="A456" t="s">
        <v>933</v>
      </c>
      <c r="B456" t="s">
        <v>934</v>
      </c>
      <c r="C456" t="s">
        <v>11</v>
      </c>
      <c r="D456" t="s">
        <v>23</v>
      </c>
      <c r="E456" s="5">
        <v>45419</v>
      </c>
      <c r="F456">
        <v>47</v>
      </c>
      <c r="G456" t="s">
        <v>18</v>
      </c>
      <c r="H456" s="6">
        <v>45420</v>
      </c>
      <c r="I456">
        <v>2</v>
      </c>
    </row>
    <row r="457" spans="1:9" x14ac:dyDescent="0.3">
      <c r="A457" t="s">
        <v>935</v>
      </c>
      <c r="B457" t="s">
        <v>936</v>
      </c>
      <c r="C457" t="s">
        <v>38</v>
      </c>
      <c r="D457" t="s">
        <v>31</v>
      </c>
      <c r="E457" s="5">
        <v>45356</v>
      </c>
      <c r="F457">
        <v>58</v>
      </c>
      <c r="G457" t="s">
        <v>13</v>
      </c>
      <c r="H457" s="6"/>
    </row>
    <row r="458" spans="1:9" x14ac:dyDescent="0.3">
      <c r="A458" t="s">
        <v>937</v>
      </c>
      <c r="B458" t="s">
        <v>938</v>
      </c>
      <c r="C458" t="s">
        <v>38</v>
      </c>
      <c r="D458" t="s">
        <v>23</v>
      </c>
      <c r="E458" s="5">
        <v>45576</v>
      </c>
      <c r="F458">
        <v>34</v>
      </c>
      <c r="G458" t="s">
        <v>18</v>
      </c>
      <c r="H458" s="6">
        <v>45577</v>
      </c>
      <c r="I458">
        <v>2</v>
      </c>
    </row>
    <row r="459" spans="1:9" x14ac:dyDescent="0.3">
      <c r="A459" t="s">
        <v>939</v>
      </c>
      <c r="B459" t="s">
        <v>940</v>
      </c>
      <c r="C459" t="s">
        <v>28</v>
      </c>
      <c r="D459" t="s">
        <v>31</v>
      </c>
      <c r="E459" s="5">
        <v>45655</v>
      </c>
      <c r="F459">
        <v>60</v>
      </c>
      <c r="G459" t="s">
        <v>18</v>
      </c>
      <c r="H459" s="6">
        <v>45657</v>
      </c>
      <c r="I459">
        <v>1</v>
      </c>
    </row>
    <row r="460" spans="1:9" x14ac:dyDescent="0.3">
      <c r="A460" t="s">
        <v>941</v>
      </c>
      <c r="B460" t="s">
        <v>942</v>
      </c>
      <c r="C460" t="s">
        <v>35</v>
      </c>
      <c r="D460" t="s">
        <v>69</v>
      </c>
      <c r="E460" s="5">
        <v>45612</v>
      </c>
      <c r="F460">
        <v>9</v>
      </c>
      <c r="G460" t="s">
        <v>13</v>
      </c>
      <c r="H460" s="6"/>
    </row>
    <row r="461" spans="1:9" x14ac:dyDescent="0.3">
      <c r="A461" t="s">
        <v>943</v>
      </c>
      <c r="B461" t="s">
        <v>944</v>
      </c>
      <c r="C461" t="s">
        <v>16</v>
      </c>
      <c r="D461" t="s">
        <v>12</v>
      </c>
      <c r="E461" s="5">
        <v>45441</v>
      </c>
      <c r="F461">
        <v>23</v>
      </c>
      <c r="G461" t="s">
        <v>18</v>
      </c>
      <c r="H461" s="6">
        <v>45441</v>
      </c>
      <c r="I461">
        <v>3</v>
      </c>
    </row>
    <row r="462" spans="1:9" x14ac:dyDescent="0.3">
      <c r="A462" t="s">
        <v>945</v>
      </c>
      <c r="B462" t="s">
        <v>946</v>
      </c>
      <c r="C462" t="s">
        <v>16</v>
      </c>
      <c r="D462" t="s">
        <v>23</v>
      </c>
      <c r="E462" s="5">
        <v>45295</v>
      </c>
      <c r="F462">
        <v>26</v>
      </c>
      <c r="G462" t="s">
        <v>18</v>
      </c>
      <c r="H462" s="6">
        <v>45296</v>
      </c>
      <c r="I462">
        <v>2</v>
      </c>
    </row>
    <row r="463" spans="1:9" x14ac:dyDescent="0.3">
      <c r="A463" t="s">
        <v>947</v>
      </c>
      <c r="B463" t="s">
        <v>948</v>
      </c>
      <c r="C463" t="s">
        <v>78</v>
      </c>
      <c r="D463" t="s">
        <v>69</v>
      </c>
      <c r="E463" s="5">
        <v>45392</v>
      </c>
      <c r="F463">
        <v>12</v>
      </c>
      <c r="G463" t="s">
        <v>18</v>
      </c>
      <c r="H463" s="6">
        <v>45392</v>
      </c>
      <c r="I463">
        <v>4</v>
      </c>
    </row>
    <row r="464" spans="1:9" x14ac:dyDescent="0.3">
      <c r="A464" t="s">
        <v>949</v>
      </c>
      <c r="B464" t="s">
        <v>950</v>
      </c>
      <c r="C464" t="s">
        <v>35</v>
      </c>
      <c r="D464" t="s">
        <v>23</v>
      </c>
      <c r="E464" s="5">
        <v>45477</v>
      </c>
      <c r="F464">
        <v>31</v>
      </c>
      <c r="G464" t="s">
        <v>32</v>
      </c>
      <c r="H464" s="6"/>
    </row>
    <row r="465" spans="1:9" x14ac:dyDescent="0.3">
      <c r="A465" t="s">
        <v>951</v>
      </c>
      <c r="B465" t="s">
        <v>952</v>
      </c>
      <c r="C465" t="s">
        <v>35</v>
      </c>
      <c r="D465" t="s">
        <v>17</v>
      </c>
      <c r="E465" s="5">
        <v>45482</v>
      </c>
      <c r="F465">
        <v>46</v>
      </c>
      <c r="G465" t="s">
        <v>18</v>
      </c>
      <c r="H465" s="6">
        <v>45483</v>
      </c>
      <c r="I465">
        <v>2</v>
      </c>
    </row>
    <row r="466" spans="1:9" x14ac:dyDescent="0.3">
      <c r="A466" t="s">
        <v>953</v>
      </c>
      <c r="B466" t="s">
        <v>954</v>
      </c>
      <c r="C466" t="s">
        <v>78</v>
      </c>
      <c r="D466" t="s">
        <v>17</v>
      </c>
      <c r="E466" s="5">
        <v>45403</v>
      </c>
      <c r="F466">
        <v>6</v>
      </c>
      <c r="G466" t="s">
        <v>32</v>
      </c>
      <c r="H466" s="6"/>
    </row>
    <row r="467" spans="1:9" x14ac:dyDescent="0.3">
      <c r="A467" t="s">
        <v>955</v>
      </c>
      <c r="B467" t="s">
        <v>956</v>
      </c>
      <c r="C467" t="s">
        <v>35</v>
      </c>
      <c r="D467" t="s">
        <v>12</v>
      </c>
      <c r="E467" s="5">
        <v>45579</v>
      </c>
      <c r="F467">
        <v>14</v>
      </c>
      <c r="G467" t="s">
        <v>18</v>
      </c>
      <c r="H467" s="6">
        <v>45579</v>
      </c>
      <c r="I467">
        <v>3</v>
      </c>
    </row>
    <row r="468" spans="1:9" x14ac:dyDescent="0.3">
      <c r="A468" t="s">
        <v>957</v>
      </c>
      <c r="B468" t="s">
        <v>958</v>
      </c>
      <c r="C468" t="s">
        <v>38</v>
      </c>
      <c r="D468" t="s">
        <v>69</v>
      </c>
      <c r="E468" s="5">
        <v>45505</v>
      </c>
      <c r="F468">
        <v>8</v>
      </c>
      <c r="G468" t="s">
        <v>18</v>
      </c>
      <c r="H468" s="6">
        <v>45505</v>
      </c>
      <c r="I468">
        <v>4</v>
      </c>
    </row>
    <row r="469" spans="1:9" x14ac:dyDescent="0.3">
      <c r="A469" t="s">
        <v>959</v>
      </c>
      <c r="B469" t="s">
        <v>960</v>
      </c>
      <c r="C469" t="s">
        <v>38</v>
      </c>
      <c r="D469" t="s">
        <v>17</v>
      </c>
      <c r="E469" s="5">
        <v>45408</v>
      </c>
      <c r="F469">
        <v>54</v>
      </c>
      <c r="G469" t="s">
        <v>32</v>
      </c>
      <c r="H469" s="6"/>
    </row>
    <row r="470" spans="1:9" x14ac:dyDescent="0.3">
      <c r="A470" t="s">
        <v>961</v>
      </c>
      <c r="B470" t="s">
        <v>962</v>
      </c>
      <c r="C470" t="s">
        <v>16</v>
      </c>
      <c r="D470" t="s">
        <v>17</v>
      </c>
      <c r="E470" s="5">
        <v>45292</v>
      </c>
      <c r="F470">
        <v>20</v>
      </c>
      <c r="G470" t="s">
        <v>18</v>
      </c>
      <c r="H470" s="6">
        <v>45292</v>
      </c>
      <c r="I470">
        <v>3</v>
      </c>
    </row>
    <row r="471" spans="1:9" x14ac:dyDescent="0.3">
      <c r="A471" t="s">
        <v>963</v>
      </c>
      <c r="B471" t="s">
        <v>964</v>
      </c>
      <c r="C471" t="s">
        <v>41</v>
      </c>
      <c r="D471" t="s">
        <v>31</v>
      </c>
      <c r="E471" s="5">
        <v>45396</v>
      </c>
      <c r="F471">
        <v>9</v>
      </c>
      <c r="G471" t="s">
        <v>18</v>
      </c>
      <c r="H471" s="6">
        <v>45396</v>
      </c>
      <c r="I471">
        <v>4</v>
      </c>
    </row>
    <row r="472" spans="1:9" x14ac:dyDescent="0.3">
      <c r="A472" t="s">
        <v>965</v>
      </c>
      <c r="B472" t="s">
        <v>966</v>
      </c>
      <c r="C472" t="s">
        <v>28</v>
      </c>
      <c r="D472" t="s">
        <v>23</v>
      </c>
      <c r="E472" s="5">
        <v>45597</v>
      </c>
      <c r="F472">
        <v>61</v>
      </c>
      <c r="G472" t="s">
        <v>32</v>
      </c>
      <c r="H472" s="6"/>
    </row>
    <row r="473" spans="1:9" x14ac:dyDescent="0.3">
      <c r="A473" t="s">
        <v>967</v>
      </c>
      <c r="B473" t="s">
        <v>968</v>
      </c>
      <c r="C473" t="s">
        <v>28</v>
      </c>
      <c r="D473" t="s">
        <v>31</v>
      </c>
      <c r="E473" s="5">
        <v>45536</v>
      </c>
      <c r="F473">
        <v>91</v>
      </c>
      <c r="G473" t="s">
        <v>18</v>
      </c>
      <c r="H473" s="6">
        <v>45539</v>
      </c>
      <c r="I473">
        <v>1</v>
      </c>
    </row>
    <row r="474" spans="1:9" x14ac:dyDescent="0.3">
      <c r="A474" t="s">
        <v>969</v>
      </c>
      <c r="B474" t="s">
        <v>970</v>
      </c>
      <c r="C474" t="s">
        <v>52</v>
      </c>
      <c r="D474" t="s">
        <v>12</v>
      </c>
      <c r="E474" s="5">
        <v>45608</v>
      </c>
      <c r="F474">
        <v>21</v>
      </c>
      <c r="G474" t="s">
        <v>13</v>
      </c>
      <c r="H474" s="6"/>
    </row>
    <row r="475" spans="1:9" x14ac:dyDescent="0.3">
      <c r="A475" t="s">
        <v>971</v>
      </c>
      <c r="B475" t="s">
        <v>972</v>
      </c>
      <c r="C475" t="s">
        <v>35</v>
      </c>
      <c r="D475" t="s">
        <v>31</v>
      </c>
      <c r="E475" s="5">
        <v>45338</v>
      </c>
      <c r="F475">
        <v>58</v>
      </c>
      <c r="G475" t="s">
        <v>18</v>
      </c>
      <c r="H475" s="6">
        <v>45340</v>
      </c>
      <c r="I475">
        <v>1</v>
      </c>
    </row>
    <row r="476" spans="1:9" x14ac:dyDescent="0.3">
      <c r="A476" t="s">
        <v>973</v>
      </c>
      <c r="B476" t="s">
        <v>974</v>
      </c>
      <c r="C476" t="s">
        <v>52</v>
      </c>
      <c r="D476" t="s">
        <v>12</v>
      </c>
      <c r="E476" s="5">
        <v>45395</v>
      </c>
      <c r="F476">
        <v>11</v>
      </c>
      <c r="G476" t="s">
        <v>18</v>
      </c>
      <c r="H476" s="6">
        <v>45395</v>
      </c>
      <c r="I476">
        <v>4</v>
      </c>
    </row>
    <row r="477" spans="1:9" x14ac:dyDescent="0.3">
      <c r="A477" t="s">
        <v>975</v>
      </c>
      <c r="B477" t="s">
        <v>976</v>
      </c>
      <c r="C477" t="s">
        <v>35</v>
      </c>
      <c r="D477" t="s">
        <v>12</v>
      </c>
      <c r="E477" s="5">
        <v>45360</v>
      </c>
      <c r="F477">
        <v>46</v>
      </c>
      <c r="G477" t="s">
        <v>18</v>
      </c>
      <c r="H477" s="6">
        <v>45361</v>
      </c>
      <c r="I477">
        <v>2</v>
      </c>
    </row>
    <row r="478" spans="1:9" x14ac:dyDescent="0.3">
      <c r="A478" t="s">
        <v>977</v>
      </c>
      <c r="B478" t="s">
        <v>978</v>
      </c>
      <c r="C478" t="s">
        <v>41</v>
      </c>
      <c r="D478" t="s">
        <v>23</v>
      </c>
      <c r="E478" s="5">
        <v>45609</v>
      </c>
      <c r="F478">
        <v>8</v>
      </c>
      <c r="G478" t="s">
        <v>13</v>
      </c>
      <c r="H478" s="6"/>
    </row>
    <row r="479" spans="1:9" x14ac:dyDescent="0.3">
      <c r="A479" t="s">
        <v>979</v>
      </c>
      <c r="B479" t="s">
        <v>980</v>
      </c>
      <c r="C479" t="s">
        <v>78</v>
      </c>
      <c r="D479" t="s">
        <v>23</v>
      </c>
      <c r="E479" s="5">
        <v>45524</v>
      </c>
      <c r="F479">
        <v>7</v>
      </c>
      <c r="G479" t="s">
        <v>18</v>
      </c>
      <c r="H479" s="6">
        <v>45524</v>
      </c>
      <c r="I479">
        <v>4</v>
      </c>
    </row>
    <row r="480" spans="1:9" x14ac:dyDescent="0.3">
      <c r="A480" t="s">
        <v>981</v>
      </c>
      <c r="B480" t="s">
        <v>982</v>
      </c>
      <c r="C480" t="s">
        <v>35</v>
      </c>
      <c r="D480" t="s">
        <v>17</v>
      </c>
      <c r="E480" s="5">
        <v>45460</v>
      </c>
      <c r="F480">
        <v>49</v>
      </c>
      <c r="G480" t="s">
        <v>32</v>
      </c>
      <c r="H480" s="6"/>
    </row>
    <row r="481" spans="1:9" x14ac:dyDescent="0.3">
      <c r="A481" t="s">
        <v>983</v>
      </c>
      <c r="B481" t="s">
        <v>984</v>
      </c>
      <c r="C481" t="s">
        <v>28</v>
      </c>
      <c r="D481" t="s">
        <v>23</v>
      </c>
      <c r="E481" s="5">
        <v>45399</v>
      </c>
      <c r="F481">
        <v>68</v>
      </c>
      <c r="G481" t="s">
        <v>18</v>
      </c>
      <c r="H481" s="6">
        <v>45401</v>
      </c>
      <c r="I481">
        <v>1</v>
      </c>
    </row>
    <row r="482" spans="1:9" x14ac:dyDescent="0.3">
      <c r="A482" t="s">
        <v>985</v>
      </c>
      <c r="B482" t="s">
        <v>986</v>
      </c>
      <c r="C482" t="s">
        <v>38</v>
      </c>
      <c r="D482" t="s">
        <v>69</v>
      </c>
      <c r="E482" s="5">
        <v>45604</v>
      </c>
      <c r="F482">
        <v>55</v>
      </c>
      <c r="G482" t="s">
        <v>18</v>
      </c>
      <c r="H482" s="6">
        <v>45606</v>
      </c>
      <c r="I482">
        <v>1</v>
      </c>
    </row>
    <row r="483" spans="1:9" x14ac:dyDescent="0.3">
      <c r="A483" t="s">
        <v>987</v>
      </c>
      <c r="B483" t="s">
        <v>988</v>
      </c>
      <c r="C483" t="s">
        <v>41</v>
      </c>
      <c r="D483" t="s">
        <v>69</v>
      </c>
      <c r="E483" s="5">
        <v>45392</v>
      </c>
      <c r="F483">
        <v>7</v>
      </c>
      <c r="G483" t="s">
        <v>18</v>
      </c>
      <c r="H483" s="6">
        <v>45392</v>
      </c>
      <c r="I483">
        <v>4</v>
      </c>
    </row>
    <row r="484" spans="1:9" x14ac:dyDescent="0.3">
      <c r="A484" t="s">
        <v>989</v>
      </c>
      <c r="B484" t="s">
        <v>990</v>
      </c>
      <c r="C484" t="s">
        <v>38</v>
      </c>
      <c r="D484" t="s">
        <v>31</v>
      </c>
      <c r="E484" s="5">
        <v>45431</v>
      </c>
      <c r="F484">
        <v>25</v>
      </c>
      <c r="G484" t="s">
        <v>18</v>
      </c>
      <c r="H484" s="6">
        <v>45432</v>
      </c>
      <c r="I484">
        <v>2</v>
      </c>
    </row>
    <row r="485" spans="1:9" x14ac:dyDescent="0.3">
      <c r="A485" t="s">
        <v>991</v>
      </c>
      <c r="B485" t="s">
        <v>992</v>
      </c>
      <c r="C485" t="s">
        <v>35</v>
      </c>
      <c r="D485" t="s">
        <v>31</v>
      </c>
      <c r="E485" s="5">
        <v>45538</v>
      </c>
      <c r="F485">
        <v>70</v>
      </c>
      <c r="G485" t="s">
        <v>13</v>
      </c>
      <c r="H485" s="6"/>
    </row>
    <row r="486" spans="1:9" x14ac:dyDescent="0.3">
      <c r="A486" t="s">
        <v>993</v>
      </c>
      <c r="B486" t="s">
        <v>994</v>
      </c>
      <c r="C486" t="s">
        <v>11</v>
      </c>
      <c r="D486" t="s">
        <v>69</v>
      </c>
      <c r="E486" s="5">
        <v>45470</v>
      </c>
      <c r="F486">
        <v>6</v>
      </c>
      <c r="G486" t="s">
        <v>18</v>
      </c>
      <c r="H486" s="6">
        <v>45470</v>
      </c>
      <c r="I486">
        <v>5</v>
      </c>
    </row>
    <row r="487" spans="1:9" x14ac:dyDescent="0.3">
      <c r="A487" t="s">
        <v>995</v>
      </c>
      <c r="B487" t="s">
        <v>996</v>
      </c>
      <c r="C487" t="s">
        <v>38</v>
      </c>
      <c r="D487" t="s">
        <v>69</v>
      </c>
      <c r="E487" s="5">
        <v>45534</v>
      </c>
      <c r="F487">
        <v>51</v>
      </c>
      <c r="G487" t="s">
        <v>13</v>
      </c>
      <c r="H487" s="6"/>
    </row>
    <row r="488" spans="1:9" x14ac:dyDescent="0.3">
      <c r="A488" t="s">
        <v>997</v>
      </c>
      <c r="B488" t="s">
        <v>998</v>
      </c>
      <c r="C488" t="s">
        <v>28</v>
      </c>
      <c r="D488" t="s">
        <v>23</v>
      </c>
      <c r="E488" s="5">
        <v>45498</v>
      </c>
      <c r="F488">
        <v>37</v>
      </c>
      <c r="G488" t="s">
        <v>32</v>
      </c>
      <c r="H488" s="6"/>
    </row>
    <row r="489" spans="1:9" x14ac:dyDescent="0.3">
      <c r="A489" t="s">
        <v>999</v>
      </c>
      <c r="B489" t="s">
        <v>1000</v>
      </c>
      <c r="C489" t="s">
        <v>52</v>
      </c>
      <c r="D489" t="s">
        <v>23</v>
      </c>
      <c r="E489" s="5">
        <v>45559</v>
      </c>
      <c r="F489">
        <v>5</v>
      </c>
      <c r="G489" t="s">
        <v>18</v>
      </c>
      <c r="H489" s="6">
        <v>45559</v>
      </c>
      <c r="I489">
        <v>5</v>
      </c>
    </row>
    <row r="490" spans="1:9" x14ac:dyDescent="0.3">
      <c r="A490" t="s">
        <v>1001</v>
      </c>
      <c r="B490" t="s">
        <v>1002</v>
      </c>
      <c r="C490" t="s">
        <v>35</v>
      </c>
      <c r="D490" t="s">
        <v>69</v>
      </c>
      <c r="E490" s="5">
        <v>45583</v>
      </c>
      <c r="F490">
        <v>72</v>
      </c>
      <c r="G490" t="s">
        <v>13</v>
      </c>
      <c r="H490" s="6"/>
    </row>
    <row r="491" spans="1:9" x14ac:dyDescent="0.3">
      <c r="A491" t="s">
        <v>1003</v>
      </c>
      <c r="B491" t="s">
        <v>1004</v>
      </c>
      <c r="C491" t="s">
        <v>41</v>
      </c>
      <c r="D491" t="s">
        <v>17</v>
      </c>
      <c r="E491" s="5">
        <v>45632</v>
      </c>
      <c r="F491">
        <v>4</v>
      </c>
      <c r="G491" t="s">
        <v>18</v>
      </c>
      <c r="H491" s="6">
        <v>45632</v>
      </c>
      <c r="I491">
        <v>5</v>
      </c>
    </row>
    <row r="492" spans="1:9" x14ac:dyDescent="0.3">
      <c r="A492" t="s">
        <v>1005</v>
      </c>
      <c r="B492" t="s">
        <v>1006</v>
      </c>
      <c r="C492" t="s">
        <v>38</v>
      </c>
      <c r="D492" t="s">
        <v>23</v>
      </c>
      <c r="E492" s="5">
        <v>45628</v>
      </c>
      <c r="F492">
        <v>37</v>
      </c>
      <c r="G492" t="s">
        <v>18</v>
      </c>
      <c r="H492" s="6">
        <v>45629</v>
      </c>
      <c r="I492">
        <v>5</v>
      </c>
    </row>
    <row r="493" spans="1:9" x14ac:dyDescent="0.3">
      <c r="A493" t="s">
        <v>1007</v>
      </c>
      <c r="B493" t="s">
        <v>1008</v>
      </c>
      <c r="C493" t="s">
        <v>78</v>
      </c>
      <c r="D493" t="s">
        <v>23</v>
      </c>
      <c r="E493" s="5">
        <v>45638</v>
      </c>
      <c r="F493">
        <v>21</v>
      </c>
      <c r="G493" t="s">
        <v>13</v>
      </c>
      <c r="H493" s="6"/>
    </row>
    <row r="494" spans="1:9" x14ac:dyDescent="0.3">
      <c r="A494" t="s">
        <v>1009</v>
      </c>
      <c r="B494" t="s">
        <v>1010</v>
      </c>
      <c r="C494" t="s">
        <v>52</v>
      </c>
      <c r="D494" t="s">
        <v>12</v>
      </c>
      <c r="E494" s="5">
        <v>45621</v>
      </c>
      <c r="F494">
        <v>4</v>
      </c>
      <c r="G494" t="s">
        <v>18</v>
      </c>
      <c r="H494" s="6">
        <v>45621</v>
      </c>
      <c r="I494">
        <v>5</v>
      </c>
    </row>
    <row r="495" spans="1:9" x14ac:dyDescent="0.3">
      <c r="A495" t="s">
        <v>1011</v>
      </c>
      <c r="B495" t="s">
        <v>1012</v>
      </c>
      <c r="C495" t="s">
        <v>52</v>
      </c>
      <c r="D495" t="s">
        <v>31</v>
      </c>
      <c r="E495" s="5">
        <v>45599</v>
      </c>
      <c r="F495">
        <v>14</v>
      </c>
      <c r="G495" t="s">
        <v>18</v>
      </c>
      <c r="H495" s="6">
        <v>45599</v>
      </c>
      <c r="I495">
        <v>3</v>
      </c>
    </row>
    <row r="496" spans="1:9" x14ac:dyDescent="0.3">
      <c r="A496" t="s">
        <v>1013</v>
      </c>
      <c r="B496" t="s">
        <v>1014</v>
      </c>
      <c r="C496" t="s">
        <v>35</v>
      </c>
      <c r="D496" t="s">
        <v>12</v>
      </c>
      <c r="E496" s="5">
        <v>45455</v>
      </c>
      <c r="F496">
        <v>26</v>
      </c>
      <c r="G496" t="s">
        <v>18</v>
      </c>
      <c r="H496" s="6">
        <v>45456</v>
      </c>
      <c r="I496">
        <v>2</v>
      </c>
    </row>
    <row r="497" spans="1:9" x14ac:dyDescent="0.3">
      <c r="A497" t="s">
        <v>1015</v>
      </c>
      <c r="B497" t="s">
        <v>1016</v>
      </c>
      <c r="C497" t="s">
        <v>28</v>
      </c>
      <c r="D497" t="s">
        <v>31</v>
      </c>
      <c r="E497" s="5">
        <v>45315</v>
      </c>
      <c r="F497">
        <v>37</v>
      </c>
      <c r="G497" t="s">
        <v>18</v>
      </c>
      <c r="H497" s="6">
        <v>45316</v>
      </c>
      <c r="I497">
        <v>2</v>
      </c>
    </row>
    <row r="498" spans="1:9" x14ac:dyDescent="0.3">
      <c r="A498" t="s">
        <v>1017</v>
      </c>
      <c r="B498" t="s">
        <v>1018</v>
      </c>
      <c r="C498" t="s">
        <v>52</v>
      </c>
      <c r="D498" t="s">
        <v>69</v>
      </c>
      <c r="E498" s="5">
        <v>45468</v>
      </c>
      <c r="F498">
        <v>9</v>
      </c>
      <c r="G498" t="s">
        <v>18</v>
      </c>
      <c r="H498" s="6">
        <v>45468</v>
      </c>
      <c r="I498">
        <v>4</v>
      </c>
    </row>
    <row r="499" spans="1:9" x14ac:dyDescent="0.3">
      <c r="A499" t="s">
        <v>1019</v>
      </c>
      <c r="B499" t="s">
        <v>1020</v>
      </c>
      <c r="C499" t="s">
        <v>78</v>
      </c>
      <c r="D499" t="s">
        <v>69</v>
      </c>
      <c r="E499" s="5">
        <v>45538</v>
      </c>
      <c r="F499">
        <v>12</v>
      </c>
      <c r="G499" t="s">
        <v>18</v>
      </c>
      <c r="H499" s="6">
        <v>45538</v>
      </c>
      <c r="I499">
        <v>4</v>
      </c>
    </row>
    <row r="500" spans="1:9" x14ac:dyDescent="0.3">
      <c r="A500" t="s">
        <v>1021</v>
      </c>
      <c r="B500" t="s">
        <v>1022</v>
      </c>
      <c r="C500" t="s">
        <v>28</v>
      </c>
      <c r="D500" t="s">
        <v>23</v>
      </c>
      <c r="E500" s="5">
        <v>45302</v>
      </c>
      <c r="F500">
        <v>34</v>
      </c>
      <c r="G500" t="s">
        <v>32</v>
      </c>
      <c r="H500" s="6"/>
    </row>
    <row r="501" spans="1:9" x14ac:dyDescent="0.3">
      <c r="A501" t="s">
        <v>1023</v>
      </c>
      <c r="B501" t="s">
        <v>1024</v>
      </c>
      <c r="C501" t="s">
        <v>35</v>
      </c>
      <c r="D501" t="s">
        <v>17</v>
      </c>
      <c r="E501" s="5">
        <v>45418</v>
      </c>
      <c r="F501">
        <v>39</v>
      </c>
      <c r="G501" t="s">
        <v>18</v>
      </c>
      <c r="H501" s="6">
        <v>45419</v>
      </c>
      <c r="I501">
        <v>2</v>
      </c>
    </row>
    <row r="502" spans="1:9" x14ac:dyDescent="0.3">
      <c r="A502" t="s">
        <v>1025</v>
      </c>
      <c r="B502" t="s">
        <v>1026</v>
      </c>
      <c r="C502" t="s">
        <v>52</v>
      </c>
      <c r="D502" t="s">
        <v>69</v>
      </c>
      <c r="E502" s="5">
        <v>45516</v>
      </c>
      <c r="F502">
        <v>24</v>
      </c>
      <c r="G502" t="s">
        <v>32</v>
      </c>
      <c r="H502" s="6"/>
    </row>
    <row r="503" spans="1:9" x14ac:dyDescent="0.3">
      <c r="A503" t="s">
        <v>1027</v>
      </c>
      <c r="B503" t="s">
        <v>1028</v>
      </c>
      <c r="C503" t="s">
        <v>16</v>
      </c>
      <c r="D503" t="s">
        <v>17</v>
      </c>
      <c r="E503" s="5">
        <v>45477</v>
      </c>
      <c r="F503">
        <v>26</v>
      </c>
      <c r="G503" t="s">
        <v>18</v>
      </c>
      <c r="H503" s="6">
        <v>45478</v>
      </c>
      <c r="I503">
        <v>2</v>
      </c>
    </row>
    <row r="504" spans="1:9" x14ac:dyDescent="0.3">
      <c r="A504" t="s">
        <v>1029</v>
      </c>
      <c r="B504" t="s">
        <v>1030</v>
      </c>
      <c r="C504" t="s">
        <v>11</v>
      </c>
      <c r="D504" t="s">
        <v>12</v>
      </c>
      <c r="E504" s="5">
        <v>45386</v>
      </c>
      <c r="F504">
        <v>28</v>
      </c>
      <c r="G504" t="s">
        <v>18</v>
      </c>
      <c r="H504" s="6">
        <v>45387</v>
      </c>
      <c r="I504">
        <v>2</v>
      </c>
    </row>
    <row r="505" spans="1:9" x14ac:dyDescent="0.3">
      <c r="A505" t="s">
        <v>1031</v>
      </c>
      <c r="B505" t="s">
        <v>1032</v>
      </c>
      <c r="C505" t="s">
        <v>35</v>
      </c>
      <c r="D505" t="s">
        <v>12</v>
      </c>
      <c r="E505" s="5">
        <v>45363</v>
      </c>
      <c r="F505">
        <v>56</v>
      </c>
      <c r="G505" t="s">
        <v>18</v>
      </c>
      <c r="H505" s="6">
        <v>45365</v>
      </c>
      <c r="I505">
        <v>5</v>
      </c>
    </row>
    <row r="506" spans="1:9" x14ac:dyDescent="0.3">
      <c r="A506" t="s">
        <v>1033</v>
      </c>
      <c r="B506" t="s">
        <v>1034</v>
      </c>
      <c r="C506" t="s">
        <v>78</v>
      </c>
      <c r="D506" t="s">
        <v>17</v>
      </c>
      <c r="E506" s="5">
        <v>45399</v>
      </c>
      <c r="F506">
        <v>5</v>
      </c>
      <c r="G506" t="s">
        <v>18</v>
      </c>
      <c r="H506" s="6">
        <v>45399</v>
      </c>
      <c r="I506">
        <v>5</v>
      </c>
    </row>
    <row r="507" spans="1:9" x14ac:dyDescent="0.3">
      <c r="A507" t="s">
        <v>1035</v>
      </c>
      <c r="B507" t="s">
        <v>1036</v>
      </c>
      <c r="C507" t="s">
        <v>16</v>
      </c>
      <c r="D507" t="s">
        <v>69</v>
      </c>
      <c r="E507" s="5">
        <v>45641</v>
      </c>
      <c r="F507">
        <v>23</v>
      </c>
      <c r="G507" t="s">
        <v>13</v>
      </c>
      <c r="H507" s="6"/>
    </row>
    <row r="508" spans="1:9" x14ac:dyDescent="0.3">
      <c r="A508" t="s">
        <v>1037</v>
      </c>
      <c r="B508" t="s">
        <v>1038</v>
      </c>
      <c r="C508" t="s">
        <v>16</v>
      </c>
      <c r="D508" t="s">
        <v>69</v>
      </c>
      <c r="E508" s="5">
        <v>45530</v>
      </c>
      <c r="F508">
        <v>10</v>
      </c>
      <c r="G508" t="s">
        <v>13</v>
      </c>
      <c r="H508" s="6"/>
    </row>
    <row r="509" spans="1:9" x14ac:dyDescent="0.3">
      <c r="A509" t="s">
        <v>1039</v>
      </c>
      <c r="B509" t="s">
        <v>1040</v>
      </c>
      <c r="C509" t="s">
        <v>52</v>
      </c>
      <c r="D509" t="s">
        <v>69</v>
      </c>
      <c r="E509" s="5">
        <v>45463</v>
      </c>
      <c r="F509">
        <v>7</v>
      </c>
      <c r="G509" t="s">
        <v>18</v>
      </c>
      <c r="H509" s="6">
        <v>45463</v>
      </c>
      <c r="I509">
        <v>5</v>
      </c>
    </row>
    <row r="510" spans="1:9" x14ac:dyDescent="0.3">
      <c r="A510" t="s">
        <v>1041</v>
      </c>
      <c r="B510" t="s">
        <v>1042</v>
      </c>
      <c r="C510" t="s">
        <v>28</v>
      </c>
      <c r="D510" t="s">
        <v>69</v>
      </c>
      <c r="E510" s="5">
        <v>45446</v>
      </c>
      <c r="F510">
        <v>43</v>
      </c>
      <c r="G510" t="s">
        <v>32</v>
      </c>
      <c r="H510" s="6"/>
    </row>
    <row r="511" spans="1:9" x14ac:dyDescent="0.3">
      <c r="A511" t="s">
        <v>1043</v>
      </c>
      <c r="B511" t="s">
        <v>1044</v>
      </c>
      <c r="C511" t="s">
        <v>38</v>
      </c>
      <c r="D511" t="s">
        <v>69</v>
      </c>
      <c r="E511" s="5">
        <v>45298</v>
      </c>
      <c r="F511">
        <v>6</v>
      </c>
      <c r="G511" t="s">
        <v>18</v>
      </c>
      <c r="H511" s="6">
        <v>45298</v>
      </c>
      <c r="I511">
        <v>5</v>
      </c>
    </row>
    <row r="512" spans="1:9" x14ac:dyDescent="0.3">
      <c r="A512" t="s">
        <v>1045</v>
      </c>
      <c r="B512" t="s">
        <v>1046</v>
      </c>
      <c r="C512" t="s">
        <v>78</v>
      </c>
      <c r="D512" t="s">
        <v>31</v>
      </c>
      <c r="E512" s="5">
        <v>45361</v>
      </c>
      <c r="F512">
        <v>17</v>
      </c>
      <c r="G512" t="s">
        <v>18</v>
      </c>
      <c r="H512" s="6">
        <v>45361</v>
      </c>
      <c r="I512">
        <v>3</v>
      </c>
    </row>
    <row r="513" spans="1:9" x14ac:dyDescent="0.3">
      <c r="A513" t="s">
        <v>1047</v>
      </c>
      <c r="B513" t="s">
        <v>1048</v>
      </c>
      <c r="C513" t="s">
        <v>41</v>
      </c>
      <c r="D513" t="s">
        <v>17</v>
      </c>
      <c r="E513" s="5">
        <v>45418</v>
      </c>
      <c r="F513">
        <v>10</v>
      </c>
      <c r="G513" t="s">
        <v>18</v>
      </c>
      <c r="H513" s="6">
        <v>45418</v>
      </c>
      <c r="I513">
        <v>4</v>
      </c>
    </row>
    <row r="514" spans="1:9" x14ac:dyDescent="0.3">
      <c r="A514" t="s">
        <v>1049</v>
      </c>
      <c r="B514" t="s">
        <v>1050</v>
      </c>
      <c r="C514" t="s">
        <v>11</v>
      </c>
      <c r="D514" t="s">
        <v>69</v>
      </c>
      <c r="E514" s="5">
        <v>45314</v>
      </c>
      <c r="F514">
        <v>36</v>
      </c>
      <c r="G514" t="s">
        <v>18</v>
      </c>
      <c r="H514" s="6">
        <v>45315</v>
      </c>
      <c r="I514">
        <v>5</v>
      </c>
    </row>
    <row r="515" spans="1:9" x14ac:dyDescent="0.3">
      <c r="A515" t="s">
        <v>1051</v>
      </c>
      <c r="B515" t="s">
        <v>1052</v>
      </c>
      <c r="C515" t="s">
        <v>16</v>
      </c>
      <c r="D515" t="s">
        <v>12</v>
      </c>
      <c r="E515" s="5">
        <v>45358</v>
      </c>
      <c r="F515">
        <v>36</v>
      </c>
      <c r="G515" t="s">
        <v>32</v>
      </c>
      <c r="H515" s="6"/>
    </row>
    <row r="516" spans="1:9" x14ac:dyDescent="0.3">
      <c r="A516" t="s">
        <v>1053</v>
      </c>
      <c r="B516" t="s">
        <v>1054</v>
      </c>
      <c r="C516" t="s">
        <v>41</v>
      </c>
      <c r="D516" t="s">
        <v>17</v>
      </c>
      <c r="E516" s="5">
        <v>45627</v>
      </c>
      <c r="F516">
        <v>7</v>
      </c>
      <c r="G516" t="s">
        <v>13</v>
      </c>
      <c r="H516" s="6"/>
    </row>
    <row r="517" spans="1:9" x14ac:dyDescent="0.3">
      <c r="A517" t="s">
        <v>1055</v>
      </c>
      <c r="B517" t="s">
        <v>1056</v>
      </c>
      <c r="C517" t="s">
        <v>16</v>
      </c>
      <c r="D517" t="s">
        <v>12</v>
      </c>
      <c r="E517" s="5">
        <v>45589</v>
      </c>
      <c r="F517">
        <v>15</v>
      </c>
      <c r="G517" t="s">
        <v>18</v>
      </c>
      <c r="H517" s="6">
        <v>45589</v>
      </c>
      <c r="I517">
        <v>3</v>
      </c>
    </row>
    <row r="518" spans="1:9" x14ac:dyDescent="0.3">
      <c r="A518" t="s">
        <v>1057</v>
      </c>
      <c r="B518" t="s">
        <v>1058</v>
      </c>
      <c r="C518" t="s">
        <v>41</v>
      </c>
      <c r="D518" t="s">
        <v>12</v>
      </c>
      <c r="E518" s="5">
        <v>45358</v>
      </c>
      <c r="F518">
        <v>6</v>
      </c>
      <c r="G518" t="s">
        <v>18</v>
      </c>
      <c r="H518" s="6">
        <v>45358</v>
      </c>
      <c r="I518">
        <v>5</v>
      </c>
    </row>
    <row r="519" spans="1:9" x14ac:dyDescent="0.3">
      <c r="A519" t="s">
        <v>1059</v>
      </c>
      <c r="B519" t="s">
        <v>1060</v>
      </c>
      <c r="C519" t="s">
        <v>35</v>
      </c>
      <c r="D519" t="s">
        <v>31</v>
      </c>
      <c r="E519" s="5">
        <v>45433</v>
      </c>
      <c r="F519">
        <v>28</v>
      </c>
      <c r="G519" t="s">
        <v>18</v>
      </c>
      <c r="H519" s="6">
        <v>45434</v>
      </c>
      <c r="I519">
        <v>5</v>
      </c>
    </row>
    <row r="520" spans="1:9" x14ac:dyDescent="0.3">
      <c r="A520" t="s">
        <v>1061</v>
      </c>
      <c r="B520" t="s">
        <v>1062</v>
      </c>
      <c r="C520" t="s">
        <v>78</v>
      </c>
      <c r="D520" t="s">
        <v>17</v>
      </c>
      <c r="E520" s="5">
        <v>45644</v>
      </c>
      <c r="F520">
        <v>8</v>
      </c>
      <c r="G520" t="s">
        <v>18</v>
      </c>
      <c r="H520" s="6">
        <v>45644</v>
      </c>
      <c r="I520">
        <v>5</v>
      </c>
    </row>
    <row r="521" spans="1:9" x14ac:dyDescent="0.3">
      <c r="A521" t="s">
        <v>1063</v>
      </c>
      <c r="B521" t="s">
        <v>1064</v>
      </c>
      <c r="C521" t="s">
        <v>52</v>
      </c>
      <c r="D521" t="s">
        <v>17</v>
      </c>
      <c r="E521" s="5">
        <v>45623</v>
      </c>
      <c r="F521">
        <v>12</v>
      </c>
      <c r="G521" t="s">
        <v>18</v>
      </c>
      <c r="H521" s="6">
        <v>45623</v>
      </c>
      <c r="I521">
        <v>4</v>
      </c>
    </row>
    <row r="522" spans="1:9" x14ac:dyDescent="0.3">
      <c r="A522" t="s">
        <v>1065</v>
      </c>
      <c r="B522" t="s">
        <v>1066</v>
      </c>
      <c r="C522" t="s">
        <v>16</v>
      </c>
      <c r="D522" t="s">
        <v>31</v>
      </c>
      <c r="E522" s="5">
        <v>45433</v>
      </c>
      <c r="F522">
        <v>11</v>
      </c>
      <c r="G522" t="s">
        <v>18</v>
      </c>
      <c r="H522" s="6">
        <v>45433</v>
      </c>
      <c r="I522">
        <v>4</v>
      </c>
    </row>
    <row r="523" spans="1:9" x14ac:dyDescent="0.3">
      <c r="A523" t="s">
        <v>1067</v>
      </c>
      <c r="B523" t="s">
        <v>1068</v>
      </c>
      <c r="C523" t="s">
        <v>38</v>
      </c>
      <c r="D523" t="s">
        <v>12</v>
      </c>
      <c r="E523" s="5">
        <v>45645</v>
      </c>
      <c r="F523">
        <v>70</v>
      </c>
      <c r="G523" t="s">
        <v>32</v>
      </c>
      <c r="H523" s="6"/>
    </row>
    <row r="524" spans="1:9" x14ac:dyDescent="0.3">
      <c r="A524" t="s">
        <v>1069</v>
      </c>
      <c r="B524" t="s">
        <v>1070</v>
      </c>
      <c r="C524" t="s">
        <v>52</v>
      </c>
      <c r="D524" t="s">
        <v>17</v>
      </c>
      <c r="E524" s="5">
        <v>45334</v>
      </c>
      <c r="F524">
        <v>2</v>
      </c>
      <c r="G524" t="s">
        <v>13</v>
      </c>
      <c r="H524" s="6"/>
    </row>
    <row r="525" spans="1:9" x14ac:dyDescent="0.3">
      <c r="A525" t="s">
        <v>1071</v>
      </c>
      <c r="B525" t="s">
        <v>1072</v>
      </c>
      <c r="C525" t="s">
        <v>11</v>
      </c>
      <c r="D525" t="s">
        <v>12</v>
      </c>
      <c r="E525" s="5">
        <v>45643</v>
      </c>
      <c r="F525">
        <v>39</v>
      </c>
      <c r="G525" t="s">
        <v>13</v>
      </c>
      <c r="H525" s="6"/>
    </row>
    <row r="526" spans="1:9" x14ac:dyDescent="0.3">
      <c r="A526" t="s">
        <v>1073</v>
      </c>
      <c r="B526" t="s">
        <v>1074</v>
      </c>
      <c r="C526" t="s">
        <v>28</v>
      </c>
      <c r="D526" t="s">
        <v>31</v>
      </c>
      <c r="E526" s="5">
        <v>45437</v>
      </c>
      <c r="F526">
        <v>37</v>
      </c>
      <c r="G526" t="s">
        <v>18</v>
      </c>
      <c r="H526" s="6">
        <v>45438</v>
      </c>
      <c r="I526">
        <v>2</v>
      </c>
    </row>
    <row r="527" spans="1:9" x14ac:dyDescent="0.3">
      <c r="A527" t="s">
        <v>1075</v>
      </c>
      <c r="B527" t="s">
        <v>1076</v>
      </c>
      <c r="C527" t="s">
        <v>11</v>
      </c>
      <c r="D527" t="s">
        <v>31</v>
      </c>
      <c r="E527" s="5">
        <v>45627</v>
      </c>
      <c r="F527">
        <v>44</v>
      </c>
      <c r="G527" t="s">
        <v>18</v>
      </c>
      <c r="H527" s="6">
        <v>45628</v>
      </c>
      <c r="I527">
        <v>2</v>
      </c>
    </row>
    <row r="528" spans="1:9" x14ac:dyDescent="0.3">
      <c r="A528" t="s">
        <v>1077</v>
      </c>
      <c r="B528" t="s">
        <v>1078</v>
      </c>
      <c r="C528" t="s">
        <v>52</v>
      </c>
      <c r="D528" t="s">
        <v>23</v>
      </c>
      <c r="E528" s="5">
        <v>45311</v>
      </c>
      <c r="F528">
        <v>10</v>
      </c>
      <c r="G528" t="s">
        <v>18</v>
      </c>
      <c r="H528" s="6">
        <v>45311</v>
      </c>
      <c r="I528">
        <v>4</v>
      </c>
    </row>
    <row r="529" spans="1:9" x14ac:dyDescent="0.3">
      <c r="A529" t="s">
        <v>1079</v>
      </c>
      <c r="B529" t="s">
        <v>1080</v>
      </c>
      <c r="C529" t="s">
        <v>41</v>
      </c>
      <c r="D529" t="s">
        <v>12</v>
      </c>
      <c r="E529" s="5">
        <v>45558</v>
      </c>
      <c r="F529">
        <v>8</v>
      </c>
      <c r="G529" t="s">
        <v>18</v>
      </c>
      <c r="H529" s="6">
        <v>45558</v>
      </c>
      <c r="I529">
        <v>4</v>
      </c>
    </row>
    <row r="530" spans="1:9" x14ac:dyDescent="0.3">
      <c r="A530" t="s">
        <v>1081</v>
      </c>
      <c r="B530" t="s">
        <v>1082</v>
      </c>
      <c r="C530" t="s">
        <v>28</v>
      </c>
      <c r="D530" t="s">
        <v>17</v>
      </c>
      <c r="E530" s="5">
        <v>45397</v>
      </c>
      <c r="F530">
        <v>84</v>
      </c>
      <c r="G530" t="s">
        <v>18</v>
      </c>
      <c r="H530" s="6">
        <v>45400</v>
      </c>
      <c r="I530">
        <v>1</v>
      </c>
    </row>
    <row r="531" spans="1:9" x14ac:dyDescent="0.3">
      <c r="A531" t="s">
        <v>1083</v>
      </c>
      <c r="B531" t="s">
        <v>1084</v>
      </c>
      <c r="C531" t="s">
        <v>52</v>
      </c>
      <c r="D531" t="s">
        <v>12</v>
      </c>
      <c r="E531" s="5">
        <v>45573</v>
      </c>
      <c r="F531">
        <v>16</v>
      </c>
      <c r="G531" t="s">
        <v>32</v>
      </c>
      <c r="H531" s="6"/>
    </row>
    <row r="532" spans="1:9" x14ac:dyDescent="0.3">
      <c r="A532" t="s">
        <v>1085</v>
      </c>
      <c r="B532" t="s">
        <v>1086</v>
      </c>
      <c r="C532" t="s">
        <v>38</v>
      </c>
      <c r="D532" t="s">
        <v>12</v>
      </c>
      <c r="E532" s="5">
        <v>45412</v>
      </c>
      <c r="F532">
        <v>68</v>
      </c>
      <c r="G532" t="s">
        <v>18</v>
      </c>
      <c r="H532" s="6">
        <v>45414</v>
      </c>
      <c r="I532">
        <v>1</v>
      </c>
    </row>
    <row r="533" spans="1:9" x14ac:dyDescent="0.3">
      <c r="A533" t="s">
        <v>1087</v>
      </c>
      <c r="B533" t="s">
        <v>1088</v>
      </c>
      <c r="C533" t="s">
        <v>35</v>
      </c>
      <c r="D533" t="s">
        <v>23</v>
      </c>
      <c r="E533" s="5">
        <v>45464</v>
      </c>
      <c r="F533">
        <v>48</v>
      </c>
      <c r="G533" t="s">
        <v>18</v>
      </c>
      <c r="H533" s="6">
        <v>45466</v>
      </c>
      <c r="I533">
        <v>2</v>
      </c>
    </row>
    <row r="534" spans="1:9" x14ac:dyDescent="0.3">
      <c r="A534" t="s">
        <v>1089</v>
      </c>
      <c r="B534" t="s">
        <v>1090</v>
      </c>
      <c r="C534" t="s">
        <v>28</v>
      </c>
      <c r="D534" t="s">
        <v>31</v>
      </c>
      <c r="E534" s="5">
        <v>45578</v>
      </c>
      <c r="F534">
        <v>76</v>
      </c>
      <c r="G534" t="s">
        <v>18</v>
      </c>
      <c r="H534" s="6">
        <v>45581</v>
      </c>
      <c r="I534">
        <v>5</v>
      </c>
    </row>
    <row r="535" spans="1:9" x14ac:dyDescent="0.3">
      <c r="A535" t="s">
        <v>1091</v>
      </c>
      <c r="B535" t="s">
        <v>1092</v>
      </c>
      <c r="C535" t="s">
        <v>11</v>
      </c>
      <c r="D535" t="s">
        <v>12</v>
      </c>
      <c r="E535" s="5">
        <v>45450</v>
      </c>
      <c r="F535">
        <v>18</v>
      </c>
      <c r="G535" t="s">
        <v>13</v>
      </c>
      <c r="H535" s="6"/>
    </row>
    <row r="536" spans="1:9" x14ac:dyDescent="0.3">
      <c r="A536" t="s">
        <v>1093</v>
      </c>
      <c r="B536" t="s">
        <v>1094</v>
      </c>
      <c r="C536" t="s">
        <v>28</v>
      </c>
      <c r="D536" t="s">
        <v>23</v>
      </c>
      <c r="E536" s="5">
        <v>45337</v>
      </c>
      <c r="F536">
        <v>49</v>
      </c>
      <c r="G536" t="s">
        <v>18</v>
      </c>
      <c r="H536" s="6">
        <v>45339</v>
      </c>
      <c r="I536">
        <v>1</v>
      </c>
    </row>
    <row r="537" spans="1:9" x14ac:dyDescent="0.3">
      <c r="A537" t="s">
        <v>1095</v>
      </c>
      <c r="B537" t="s">
        <v>1096</v>
      </c>
      <c r="C537" t="s">
        <v>52</v>
      </c>
      <c r="D537" t="s">
        <v>69</v>
      </c>
      <c r="E537" s="5">
        <v>45622</v>
      </c>
      <c r="F537">
        <v>19</v>
      </c>
      <c r="G537" t="s">
        <v>18</v>
      </c>
      <c r="H537" s="6">
        <v>45622</v>
      </c>
      <c r="I537">
        <v>3</v>
      </c>
    </row>
    <row r="538" spans="1:9" x14ac:dyDescent="0.3">
      <c r="A538" t="s">
        <v>1097</v>
      </c>
      <c r="B538" t="s">
        <v>1098</v>
      </c>
      <c r="C538" t="s">
        <v>28</v>
      </c>
      <c r="D538" t="s">
        <v>23</v>
      </c>
      <c r="E538" s="5">
        <v>45457</v>
      </c>
      <c r="F538">
        <v>79</v>
      </c>
      <c r="G538" t="s">
        <v>18</v>
      </c>
      <c r="H538" s="6">
        <v>45460</v>
      </c>
      <c r="I538">
        <v>1</v>
      </c>
    </row>
    <row r="539" spans="1:9" x14ac:dyDescent="0.3">
      <c r="A539" t="s">
        <v>1099</v>
      </c>
      <c r="B539" t="s">
        <v>1100</v>
      </c>
      <c r="C539" t="s">
        <v>41</v>
      </c>
      <c r="D539" t="s">
        <v>12</v>
      </c>
      <c r="E539" s="5">
        <v>45625</v>
      </c>
      <c r="F539">
        <v>9</v>
      </c>
      <c r="G539" t="s">
        <v>18</v>
      </c>
      <c r="H539" s="6">
        <v>45625</v>
      </c>
      <c r="I539">
        <v>5</v>
      </c>
    </row>
    <row r="540" spans="1:9" x14ac:dyDescent="0.3">
      <c r="A540" t="s">
        <v>1101</v>
      </c>
      <c r="B540" t="s">
        <v>1102</v>
      </c>
      <c r="C540" t="s">
        <v>41</v>
      </c>
      <c r="D540" t="s">
        <v>69</v>
      </c>
      <c r="E540" s="5">
        <v>45501</v>
      </c>
      <c r="F540">
        <v>6</v>
      </c>
      <c r="G540" t="s">
        <v>18</v>
      </c>
      <c r="H540" s="6">
        <v>45501</v>
      </c>
      <c r="I540">
        <v>5</v>
      </c>
    </row>
    <row r="541" spans="1:9" x14ac:dyDescent="0.3">
      <c r="A541" t="s">
        <v>1103</v>
      </c>
      <c r="B541" t="s">
        <v>1104</v>
      </c>
      <c r="C541" t="s">
        <v>16</v>
      </c>
      <c r="D541" t="s">
        <v>17</v>
      </c>
      <c r="E541" s="5">
        <v>45426</v>
      </c>
      <c r="F541">
        <v>8</v>
      </c>
      <c r="G541" t="s">
        <v>18</v>
      </c>
      <c r="H541" s="6">
        <v>45426</v>
      </c>
      <c r="I541">
        <v>4</v>
      </c>
    </row>
    <row r="542" spans="1:9" x14ac:dyDescent="0.3">
      <c r="A542" t="s">
        <v>1105</v>
      </c>
      <c r="B542" t="s">
        <v>1106</v>
      </c>
      <c r="C542" t="s">
        <v>28</v>
      </c>
      <c r="D542" t="s">
        <v>31</v>
      </c>
      <c r="E542" s="5">
        <v>45642</v>
      </c>
      <c r="F542">
        <v>89</v>
      </c>
      <c r="G542" t="s">
        <v>13</v>
      </c>
      <c r="H542" s="6"/>
    </row>
    <row r="543" spans="1:9" x14ac:dyDescent="0.3">
      <c r="A543" t="s">
        <v>1107</v>
      </c>
      <c r="B543" t="s">
        <v>1108</v>
      </c>
      <c r="C543" t="s">
        <v>35</v>
      </c>
      <c r="D543" t="s">
        <v>12</v>
      </c>
      <c r="E543" s="5">
        <v>45610</v>
      </c>
      <c r="F543">
        <v>15</v>
      </c>
      <c r="G543" t="s">
        <v>32</v>
      </c>
      <c r="H543" s="6"/>
    </row>
    <row r="544" spans="1:9" x14ac:dyDescent="0.3">
      <c r="A544" t="s">
        <v>1109</v>
      </c>
      <c r="B544" t="s">
        <v>1110</v>
      </c>
      <c r="C544" t="s">
        <v>28</v>
      </c>
      <c r="D544" t="s">
        <v>17</v>
      </c>
      <c r="E544" s="5">
        <v>45476</v>
      </c>
      <c r="F544">
        <v>30</v>
      </c>
      <c r="G544" t="s">
        <v>13</v>
      </c>
      <c r="H544" s="6"/>
    </row>
    <row r="545" spans="1:9" x14ac:dyDescent="0.3">
      <c r="A545" t="s">
        <v>1111</v>
      </c>
      <c r="B545" t="s">
        <v>1112</v>
      </c>
      <c r="C545" t="s">
        <v>16</v>
      </c>
      <c r="D545" t="s">
        <v>31</v>
      </c>
      <c r="E545" s="5">
        <v>45599</v>
      </c>
      <c r="F545">
        <v>32</v>
      </c>
      <c r="G545" t="s">
        <v>32</v>
      </c>
      <c r="H545" s="6"/>
    </row>
    <row r="546" spans="1:9" x14ac:dyDescent="0.3">
      <c r="A546" t="s">
        <v>1113</v>
      </c>
      <c r="B546" t="s">
        <v>1114</v>
      </c>
      <c r="C546" t="s">
        <v>11</v>
      </c>
      <c r="D546" t="s">
        <v>17</v>
      </c>
      <c r="E546" s="5">
        <v>45444</v>
      </c>
      <c r="F546">
        <v>43</v>
      </c>
      <c r="G546" t="s">
        <v>18</v>
      </c>
      <c r="H546" s="6">
        <v>45445</v>
      </c>
      <c r="I546">
        <v>5</v>
      </c>
    </row>
    <row r="547" spans="1:9" x14ac:dyDescent="0.3">
      <c r="A547" t="s">
        <v>1115</v>
      </c>
      <c r="B547" t="s">
        <v>1116</v>
      </c>
      <c r="C547" t="s">
        <v>11</v>
      </c>
      <c r="D547" t="s">
        <v>31</v>
      </c>
      <c r="E547" s="5">
        <v>45358</v>
      </c>
      <c r="F547">
        <v>40</v>
      </c>
      <c r="G547" t="s">
        <v>13</v>
      </c>
      <c r="H547" s="6"/>
    </row>
    <row r="548" spans="1:9" x14ac:dyDescent="0.3">
      <c r="A548" t="s">
        <v>1117</v>
      </c>
      <c r="B548" t="s">
        <v>1118</v>
      </c>
      <c r="C548" t="s">
        <v>52</v>
      </c>
      <c r="D548" t="s">
        <v>12</v>
      </c>
      <c r="E548" s="5">
        <v>45386</v>
      </c>
      <c r="F548">
        <v>7</v>
      </c>
      <c r="G548" t="s">
        <v>18</v>
      </c>
      <c r="H548" s="6">
        <v>45386</v>
      </c>
      <c r="I548">
        <v>4</v>
      </c>
    </row>
    <row r="549" spans="1:9" x14ac:dyDescent="0.3">
      <c r="A549" t="s">
        <v>1119</v>
      </c>
      <c r="B549" t="s">
        <v>1120</v>
      </c>
      <c r="C549" t="s">
        <v>35</v>
      </c>
      <c r="D549" t="s">
        <v>17</v>
      </c>
      <c r="E549" s="5">
        <v>45523</v>
      </c>
      <c r="F549">
        <v>43</v>
      </c>
      <c r="G549" t="s">
        <v>13</v>
      </c>
      <c r="H549" s="6"/>
    </row>
    <row r="550" spans="1:9" x14ac:dyDescent="0.3">
      <c r="A550" t="s">
        <v>1121</v>
      </c>
      <c r="B550" t="s">
        <v>1122</v>
      </c>
      <c r="C550" t="s">
        <v>41</v>
      </c>
      <c r="D550" t="s">
        <v>31</v>
      </c>
      <c r="E550" s="5">
        <v>45385</v>
      </c>
      <c r="F550">
        <v>5</v>
      </c>
      <c r="G550" t="s">
        <v>18</v>
      </c>
      <c r="H550" s="6">
        <v>45385</v>
      </c>
      <c r="I550">
        <v>5</v>
      </c>
    </row>
    <row r="551" spans="1:9" x14ac:dyDescent="0.3">
      <c r="A551" t="s">
        <v>1123</v>
      </c>
      <c r="B551" t="s">
        <v>1124</v>
      </c>
      <c r="C551" t="s">
        <v>35</v>
      </c>
      <c r="D551" t="s">
        <v>23</v>
      </c>
      <c r="E551" s="5">
        <v>45547</v>
      </c>
      <c r="F551">
        <v>22</v>
      </c>
      <c r="G551" t="s">
        <v>18</v>
      </c>
      <c r="H551" s="6">
        <v>45547</v>
      </c>
      <c r="I551">
        <v>3</v>
      </c>
    </row>
    <row r="552" spans="1:9" x14ac:dyDescent="0.3">
      <c r="A552" t="s">
        <v>1125</v>
      </c>
      <c r="B552" t="s">
        <v>1126</v>
      </c>
      <c r="C552" t="s">
        <v>28</v>
      </c>
      <c r="D552" t="s">
        <v>12</v>
      </c>
      <c r="E552" s="5">
        <v>45624</v>
      </c>
      <c r="F552">
        <v>33</v>
      </c>
      <c r="G552" t="s">
        <v>18</v>
      </c>
      <c r="H552" s="6">
        <v>45625</v>
      </c>
      <c r="I552">
        <v>2</v>
      </c>
    </row>
    <row r="553" spans="1:9" x14ac:dyDescent="0.3">
      <c r="A553" t="s">
        <v>1127</v>
      </c>
      <c r="B553" t="s">
        <v>1128</v>
      </c>
      <c r="C553" t="s">
        <v>38</v>
      </c>
      <c r="D553" t="s">
        <v>17</v>
      </c>
      <c r="E553" s="5">
        <v>45599</v>
      </c>
      <c r="F553">
        <v>48</v>
      </c>
      <c r="G553" t="s">
        <v>18</v>
      </c>
      <c r="H553" s="6">
        <v>45601</v>
      </c>
      <c r="I553">
        <v>2</v>
      </c>
    </row>
    <row r="554" spans="1:9" x14ac:dyDescent="0.3">
      <c r="A554" t="s">
        <v>1129</v>
      </c>
      <c r="B554" t="s">
        <v>1130</v>
      </c>
      <c r="C554" t="s">
        <v>52</v>
      </c>
      <c r="D554" t="s">
        <v>23</v>
      </c>
      <c r="E554" s="5">
        <v>45468</v>
      </c>
      <c r="F554">
        <v>14</v>
      </c>
      <c r="G554" t="s">
        <v>32</v>
      </c>
      <c r="H554" s="6"/>
    </row>
    <row r="555" spans="1:9" x14ac:dyDescent="0.3">
      <c r="A555" t="s">
        <v>1131</v>
      </c>
      <c r="B555" t="s">
        <v>1132</v>
      </c>
      <c r="C555" t="s">
        <v>38</v>
      </c>
      <c r="D555" t="s">
        <v>69</v>
      </c>
      <c r="E555" s="5">
        <v>45551</v>
      </c>
      <c r="F555">
        <v>72</v>
      </c>
      <c r="G555" t="s">
        <v>32</v>
      </c>
      <c r="H555" s="6"/>
    </row>
    <row r="556" spans="1:9" x14ac:dyDescent="0.3">
      <c r="A556" t="s">
        <v>1133</v>
      </c>
      <c r="B556" t="s">
        <v>1134</v>
      </c>
      <c r="C556" t="s">
        <v>11</v>
      </c>
      <c r="D556" t="s">
        <v>17</v>
      </c>
      <c r="E556" s="5">
        <v>45629</v>
      </c>
      <c r="F556">
        <v>5</v>
      </c>
      <c r="G556" t="s">
        <v>18</v>
      </c>
      <c r="H556" s="6">
        <v>45629</v>
      </c>
      <c r="I556">
        <v>5</v>
      </c>
    </row>
    <row r="557" spans="1:9" x14ac:dyDescent="0.3">
      <c r="A557" t="s">
        <v>1135</v>
      </c>
      <c r="B557" t="s">
        <v>1136</v>
      </c>
      <c r="C557" t="s">
        <v>35</v>
      </c>
      <c r="D557" t="s">
        <v>23</v>
      </c>
      <c r="E557" s="5">
        <v>45527</v>
      </c>
      <c r="F557">
        <v>30</v>
      </c>
      <c r="G557" t="s">
        <v>13</v>
      </c>
      <c r="H557" s="6"/>
    </row>
    <row r="558" spans="1:9" x14ac:dyDescent="0.3">
      <c r="A558" t="s">
        <v>1137</v>
      </c>
      <c r="B558" t="s">
        <v>1138</v>
      </c>
      <c r="C558" t="s">
        <v>35</v>
      </c>
      <c r="D558" t="s">
        <v>12</v>
      </c>
      <c r="E558" s="5">
        <v>45621</v>
      </c>
      <c r="F558">
        <v>71</v>
      </c>
      <c r="G558" t="s">
        <v>18</v>
      </c>
      <c r="H558" s="6">
        <v>45623</v>
      </c>
      <c r="I558">
        <v>1</v>
      </c>
    </row>
    <row r="559" spans="1:9" x14ac:dyDescent="0.3">
      <c r="A559" t="s">
        <v>1139</v>
      </c>
      <c r="B559" t="s">
        <v>1140</v>
      </c>
      <c r="C559" t="s">
        <v>11</v>
      </c>
      <c r="D559" t="s">
        <v>23</v>
      </c>
      <c r="E559" s="5">
        <v>45330</v>
      </c>
      <c r="F559">
        <v>27</v>
      </c>
      <c r="G559" t="s">
        <v>18</v>
      </c>
      <c r="H559" s="6">
        <v>45331</v>
      </c>
      <c r="I559">
        <v>2</v>
      </c>
    </row>
    <row r="560" spans="1:9" x14ac:dyDescent="0.3">
      <c r="A560" t="s">
        <v>1141</v>
      </c>
      <c r="B560" t="s">
        <v>1142</v>
      </c>
      <c r="C560" t="s">
        <v>41</v>
      </c>
      <c r="D560" t="s">
        <v>31</v>
      </c>
      <c r="E560" s="5">
        <v>45309</v>
      </c>
      <c r="F560">
        <v>8</v>
      </c>
      <c r="G560" t="s">
        <v>13</v>
      </c>
      <c r="H560" s="6"/>
    </row>
    <row r="561" spans="1:9" x14ac:dyDescent="0.3">
      <c r="A561" t="s">
        <v>1143</v>
      </c>
      <c r="B561" t="s">
        <v>1144</v>
      </c>
      <c r="C561" t="s">
        <v>38</v>
      </c>
      <c r="D561" t="s">
        <v>17</v>
      </c>
      <c r="E561" s="5">
        <v>45316</v>
      </c>
      <c r="F561">
        <v>44</v>
      </c>
      <c r="G561" t="s">
        <v>18</v>
      </c>
      <c r="H561" s="6">
        <v>45317</v>
      </c>
      <c r="I561">
        <v>2</v>
      </c>
    </row>
    <row r="562" spans="1:9" x14ac:dyDescent="0.3">
      <c r="A562" t="s">
        <v>1145</v>
      </c>
      <c r="B562" t="s">
        <v>1146</v>
      </c>
      <c r="C562" t="s">
        <v>11</v>
      </c>
      <c r="D562" t="s">
        <v>23</v>
      </c>
      <c r="E562" s="5">
        <v>45497</v>
      </c>
      <c r="F562">
        <v>32</v>
      </c>
      <c r="G562" t="s">
        <v>13</v>
      </c>
      <c r="H562" s="6"/>
    </row>
    <row r="563" spans="1:9" x14ac:dyDescent="0.3">
      <c r="A563" t="s">
        <v>1147</v>
      </c>
      <c r="B563" t="s">
        <v>1148</v>
      </c>
      <c r="C563" t="s">
        <v>38</v>
      </c>
      <c r="D563" t="s">
        <v>31</v>
      </c>
      <c r="E563" s="5">
        <v>45557</v>
      </c>
      <c r="F563">
        <v>12</v>
      </c>
      <c r="G563" t="s">
        <v>18</v>
      </c>
      <c r="H563" s="6">
        <v>45557</v>
      </c>
      <c r="I563">
        <v>4</v>
      </c>
    </row>
    <row r="564" spans="1:9" x14ac:dyDescent="0.3">
      <c r="A564" t="s">
        <v>1149</v>
      </c>
      <c r="B564" t="s">
        <v>1150</v>
      </c>
      <c r="C564" t="s">
        <v>16</v>
      </c>
      <c r="D564" t="s">
        <v>23</v>
      </c>
      <c r="E564" s="5">
        <v>45585</v>
      </c>
      <c r="F564">
        <v>6</v>
      </c>
      <c r="G564" t="s">
        <v>13</v>
      </c>
      <c r="H564" s="6"/>
    </row>
    <row r="565" spans="1:9" x14ac:dyDescent="0.3">
      <c r="A565" t="s">
        <v>1151</v>
      </c>
      <c r="B565" t="s">
        <v>1152</v>
      </c>
      <c r="C565" t="s">
        <v>52</v>
      </c>
      <c r="D565" t="s">
        <v>31</v>
      </c>
      <c r="E565" s="5">
        <v>45515</v>
      </c>
      <c r="F565">
        <v>16</v>
      </c>
      <c r="G565" t="s">
        <v>18</v>
      </c>
      <c r="H565" s="6">
        <v>45515</v>
      </c>
      <c r="I565">
        <v>5</v>
      </c>
    </row>
    <row r="566" spans="1:9" x14ac:dyDescent="0.3">
      <c r="A566" t="s">
        <v>1153</v>
      </c>
      <c r="B566" t="s">
        <v>1154</v>
      </c>
      <c r="C566" t="s">
        <v>41</v>
      </c>
      <c r="D566" t="s">
        <v>12</v>
      </c>
      <c r="E566" s="5">
        <v>45427</v>
      </c>
      <c r="F566">
        <v>4</v>
      </c>
      <c r="G566" t="s">
        <v>32</v>
      </c>
      <c r="H566" s="6"/>
    </row>
    <row r="567" spans="1:9" x14ac:dyDescent="0.3">
      <c r="A567" t="s">
        <v>1155</v>
      </c>
      <c r="B567" t="s">
        <v>1156</v>
      </c>
      <c r="C567" t="s">
        <v>28</v>
      </c>
      <c r="D567" t="s">
        <v>69</v>
      </c>
      <c r="E567" s="5">
        <v>45621</v>
      </c>
      <c r="F567">
        <v>77</v>
      </c>
      <c r="G567" t="s">
        <v>13</v>
      </c>
      <c r="H567" s="6"/>
    </row>
    <row r="568" spans="1:9" x14ac:dyDescent="0.3">
      <c r="A568" t="s">
        <v>1157</v>
      </c>
      <c r="B568" t="s">
        <v>1158</v>
      </c>
      <c r="C568" t="s">
        <v>78</v>
      </c>
      <c r="D568" t="s">
        <v>23</v>
      </c>
      <c r="E568" s="5">
        <v>45545</v>
      </c>
      <c r="F568">
        <v>8</v>
      </c>
      <c r="G568" t="s">
        <v>18</v>
      </c>
      <c r="H568" s="6">
        <v>45545</v>
      </c>
      <c r="I568">
        <v>5</v>
      </c>
    </row>
    <row r="569" spans="1:9" x14ac:dyDescent="0.3">
      <c r="A569" t="s">
        <v>1159</v>
      </c>
      <c r="B569" t="s">
        <v>1160</v>
      </c>
      <c r="C569" t="s">
        <v>35</v>
      </c>
      <c r="D569" t="s">
        <v>23</v>
      </c>
      <c r="E569" s="5">
        <v>45447</v>
      </c>
      <c r="F569">
        <v>66</v>
      </c>
      <c r="G569" t="s">
        <v>18</v>
      </c>
      <c r="H569" s="6">
        <v>45449</v>
      </c>
      <c r="I569">
        <v>5</v>
      </c>
    </row>
    <row r="570" spans="1:9" x14ac:dyDescent="0.3">
      <c r="A570" t="s">
        <v>1161</v>
      </c>
      <c r="B570" t="s">
        <v>1162</v>
      </c>
      <c r="C570" t="s">
        <v>28</v>
      </c>
      <c r="D570" t="s">
        <v>23</v>
      </c>
      <c r="E570" s="5">
        <v>45373</v>
      </c>
      <c r="F570">
        <v>74</v>
      </c>
      <c r="G570" t="s">
        <v>18</v>
      </c>
      <c r="H570" s="6">
        <v>45376</v>
      </c>
      <c r="I570">
        <v>1</v>
      </c>
    </row>
    <row r="571" spans="1:9" x14ac:dyDescent="0.3">
      <c r="A571" t="s">
        <v>1163</v>
      </c>
      <c r="B571" t="s">
        <v>1164</v>
      </c>
      <c r="C571" t="s">
        <v>35</v>
      </c>
      <c r="D571" t="s">
        <v>12</v>
      </c>
      <c r="E571" s="5">
        <v>45371</v>
      </c>
      <c r="F571">
        <v>61</v>
      </c>
      <c r="G571" t="s">
        <v>13</v>
      </c>
      <c r="H571" s="6"/>
    </row>
    <row r="572" spans="1:9" x14ac:dyDescent="0.3">
      <c r="A572" t="s">
        <v>1165</v>
      </c>
      <c r="B572" t="s">
        <v>1166</v>
      </c>
      <c r="C572" t="s">
        <v>16</v>
      </c>
      <c r="D572" t="s">
        <v>69</v>
      </c>
      <c r="E572" s="5">
        <v>45390</v>
      </c>
      <c r="F572">
        <v>34</v>
      </c>
      <c r="G572" t="s">
        <v>32</v>
      </c>
      <c r="H572" s="6"/>
    </row>
    <row r="573" spans="1:9" x14ac:dyDescent="0.3">
      <c r="A573" t="s">
        <v>1167</v>
      </c>
      <c r="B573" t="s">
        <v>1168</v>
      </c>
      <c r="C573" t="s">
        <v>16</v>
      </c>
      <c r="D573" t="s">
        <v>17</v>
      </c>
      <c r="E573" s="5">
        <v>45458</v>
      </c>
      <c r="F573">
        <v>25</v>
      </c>
      <c r="G573" t="s">
        <v>18</v>
      </c>
      <c r="H573" s="6">
        <v>45459</v>
      </c>
      <c r="I573">
        <v>2</v>
      </c>
    </row>
    <row r="574" spans="1:9" x14ac:dyDescent="0.3">
      <c r="A574" t="s">
        <v>1169</v>
      </c>
      <c r="B574" t="s">
        <v>1170</v>
      </c>
      <c r="C574" t="s">
        <v>16</v>
      </c>
      <c r="D574" t="s">
        <v>17</v>
      </c>
      <c r="E574" s="5">
        <v>45467</v>
      </c>
      <c r="F574">
        <v>25</v>
      </c>
      <c r="G574" t="s">
        <v>18</v>
      </c>
      <c r="H574" s="6">
        <v>45468</v>
      </c>
      <c r="I574">
        <v>2</v>
      </c>
    </row>
    <row r="575" spans="1:9" x14ac:dyDescent="0.3">
      <c r="A575" t="s">
        <v>1171</v>
      </c>
      <c r="B575" t="s">
        <v>1172</v>
      </c>
      <c r="C575" t="s">
        <v>78</v>
      </c>
      <c r="D575" t="s">
        <v>23</v>
      </c>
      <c r="E575" s="5">
        <v>45569</v>
      </c>
      <c r="F575">
        <v>17</v>
      </c>
      <c r="G575" t="s">
        <v>18</v>
      </c>
      <c r="H575" s="6">
        <v>45569</v>
      </c>
      <c r="I575">
        <v>3</v>
      </c>
    </row>
    <row r="576" spans="1:9" x14ac:dyDescent="0.3">
      <c r="A576" t="s">
        <v>1173</v>
      </c>
      <c r="B576" t="s">
        <v>1174</v>
      </c>
      <c r="C576" t="s">
        <v>41</v>
      </c>
      <c r="D576" t="s">
        <v>17</v>
      </c>
      <c r="E576" s="5">
        <v>45384</v>
      </c>
      <c r="F576">
        <v>10</v>
      </c>
      <c r="G576" t="s">
        <v>18</v>
      </c>
      <c r="H576" s="6">
        <v>45384</v>
      </c>
      <c r="I576">
        <v>4</v>
      </c>
    </row>
    <row r="577" spans="1:9" x14ac:dyDescent="0.3">
      <c r="A577" t="s">
        <v>1175</v>
      </c>
      <c r="B577" t="s">
        <v>1176</v>
      </c>
      <c r="C577" t="s">
        <v>16</v>
      </c>
      <c r="D577" t="s">
        <v>23</v>
      </c>
      <c r="E577" s="5">
        <v>45601</v>
      </c>
      <c r="F577">
        <v>31</v>
      </c>
      <c r="G577" t="s">
        <v>18</v>
      </c>
      <c r="H577" s="6">
        <v>45602</v>
      </c>
      <c r="I577">
        <v>2</v>
      </c>
    </row>
    <row r="578" spans="1:9" x14ac:dyDescent="0.3">
      <c r="A578" t="s">
        <v>1177</v>
      </c>
      <c r="B578" t="s">
        <v>1178</v>
      </c>
      <c r="C578" t="s">
        <v>35</v>
      </c>
      <c r="D578" t="s">
        <v>17</v>
      </c>
      <c r="E578" s="5">
        <v>45583</v>
      </c>
      <c r="F578">
        <v>34</v>
      </c>
      <c r="G578" t="s">
        <v>18</v>
      </c>
      <c r="H578" s="6">
        <v>45584</v>
      </c>
      <c r="I578">
        <v>2</v>
      </c>
    </row>
    <row r="579" spans="1:9" x14ac:dyDescent="0.3">
      <c r="A579" t="s">
        <v>1179</v>
      </c>
      <c r="B579" t="s">
        <v>1180</v>
      </c>
      <c r="C579" t="s">
        <v>78</v>
      </c>
      <c r="D579" t="s">
        <v>69</v>
      </c>
      <c r="E579" s="5">
        <v>45308</v>
      </c>
      <c r="F579">
        <v>23</v>
      </c>
      <c r="G579" t="s">
        <v>32</v>
      </c>
      <c r="H579" s="6"/>
    </row>
    <row r="580" spans="1:9" x14ac:dyDescent="0.3">
      <c r="A580" t="s">
        <v>1181</v>
      </c>
      <c r="B580" t="s">
        <v>1182</v>
      </c>
      <c r="C580" t="s">
        <v>35</v>
      </c>
      <c r="D580" t="s">
        <v>31</v>
      </c>
      <c r="E580" s="5">
        <v>45359</v>
      </c>
      <c r="F580">
        <v>31</v>
      </c>
      <c r="G580" t="s">
        <v>32</v>
      </c>
      <c r="H580" s="6"/>
    </row>
    <row r="581" spans="1:9" x14ac:dyDescent="0.3">
      <c r="A581" t="s">
        <v>1183</v>
      </c>
      <c r="B581" t="s">
        <v>1184</v>
      </c>
      <c r="C581" t="s">
        <v>11</v>
      </c>
      <c r="D581" t="s">
        <v>69</v>
      </c>
      <c r="E581" s="5">
        <v>45607</v>
      </c>
      <c r="F581">
        <v>47</v>
      </c>
      <c r="G581" t="s">
        <v>13</v>
      </c>
      <c r="H581" s="6"/>
    </row>
    <row r="582" spans="1:9" x14ac:dyDescent="0.3">
      <c r="A582" t="s">
        <v>1185</v>
      </c>
      <c r="B582" t="s">
        <v>1186</v>
      </c>
      <c r="C582" t="s">
        <v>35</v>
      </c>
      <c r="D582" t="s">
        <v>12</v>
      </c>
      <c r="E582" s="5">
        <v>45313</v>
      </c>
      <c r="F582">
        <v>24</v>
      </c>
      <c r="G582" t="s">
        <v>18</v>
      </c>
      <c r="H582" s="6">
        <v>45314</v>
      </c>
      <c r="I582">
        <v>3</v>
      </c>
    </row>
    <row r="583" spans="1:9" x14ac:dyDescent="0.3">
      <c r="A583" t="s">
        <v>1187</v>
      </c>
      <c r="B583" t="s">
        <v>1188</v>
      </c>
      <c r="C583" t="s">
        <v>16</v>
      </c>
      <c r="D583" t="s">
        <v>31</v>
      </c>
      <c r="E583" s="5">
        <v>45539</v>
      </c>
      <c r="F583">
        <v>7</v>
      </c>
      <c r="G583" t="s">
        <v>18</v>
      </c>
      <c r="H583" s="6">
        <v>45539</v>
      </c>
      <c r="I583">
        <v>5</v>
      </c>
    </row>
    <row r="584" spans="1:9" x14ac:dyDescent="0.3">
      <c r="A584" t="s">
        <v>1189</v>
      </c>
      <c r="B584" t="s">
        <v>1190</v>
      </c>
      <c r="C584" t="s">
        <v>16</v>
      </c>
      <c r="D584" t="s">
        <v>31</v>
      </c>
      <c r="E584" s="5">
        <v>45487</v>
      </c>
      <c r="F584">
        <v>19</v>
      </c>
      <c r="G584" t="s">
        <v>13</v>
      </c>
      <c r="H584" s="6"/>
    </row>
    <row r="585" spans="1:9" x14ac:dyDescent="0.3">
      <c r="A585" t="s">
        <v>1191</v>
      </c>
      <c r="B585" t="s">
        <v>1192</v>
      </c>
      <c r="C585" t="s">
        <v>52</v>
      </c>
      <c r="D585" t="s">
        <v>69</v>
      </c>
      <c r="E585" s="5">
        <v>45544</v>
      </c>
      <c r="F585">
        <v>8</v>
      </c>
      <c r="G585" t="s">
        <v>13</v>
      </c>
      <c r="H585" s="6"/>
    </row>
    <row r="586" spans="1:9" x14ac:dyDescent="0.3">
      <c r="A586" t="s">
        <v>1193</v>
      </c>
      <c r="B586" t="s">
        <v>1194</v>
      </c>
      <c r="C586" t="s">
        <v>38</v>
      </c>
      <c r="D586" t="s">
        <v>23</v>
      </c>
      <c r="E586" s="5">
        <v>45582</v>
      </c>
      <c r="F586">
        <v>37</v>
      </c>
      <c r="G586" t="s">
        <v>18</v>
      </c>
      <c r="H586" s="6">
        <v>45583</v>
      </c>
      <c r="I586">
        <v>2</v>
      </c>
    </row>
    <row r="587" spans="1:9" x14ac:dyDescent="0.3">
      <c r="A587" t="s">
        <v>1195</v>
      </c>
      <c r="B587" t="s">
        <v>1196</v>
      </c>
      <c r="C587" t="s">
        <v>11</v>
      </c>
      <c r="D587" t="s">
        <v>12</v>
      </c>
      <c r="E587" s="5">
        <v>45393</v>
      </c>
      <c r="F587">
        <v>48</v>
      </c>
      <c r="G587" t="s">
        <v>18</v>
      </c>
      <c r="H587" s="6">
        <v>45395</v>
      </c>
      <c r="I587">
        <v>2</v>
      </c>
    </row>
    <row r="588" spans="1:9" x14ac:dyDescent="0.3">
      <c r="A588" t="s">
        <v>1197</v>
      </c>
      <c r="B588" t="s">
        <v>1198</v>
      </c>
      <c r="C588" t="s">
        <v>16</v>
      </c>
      <c r="D588" t="s">
        <v>23</v>
      </c>
      <c r="E588" s="5">
        <v>45354</v>
      </c>
      <c r="F588">
        <v>14</v>
      </c>
      <c r="G588" t="s">
        <v>18</v>
      </c>
      <c r="H588" s="6">
        <v>45354</v>
      </c>
      <c r="I588">
        <v>3</v>
      </c>
    </row>
    <row r="589" spans="1:9" x14ac:dyDescent="0.3">
      <c r="A589" t="s">
        <v>1199</v>
      </c>
      <c r="B589" t="s">
        <v>1200</v>
      </c>
      <c r="C589" t="s">
        <v>28</v>
      </c>
      <c r="D589" t="s">
        <v>17</v>
      </c>
      <c r="E589" s="5">
        <v>45356</v>
      </c>
      <c r="F589">
        <v>92</v>
      </c>
      <c r="G589" t="s">
        <v>18</v>
      </c>
      <c r="H589" s="6">
        <v>45359</v>
      </c>
      <c r="I589">
        <v>1</v>
      </c>
    </row>
    <row r="590" spans="1:9" x14ac:dyDescent="0.3">
      <c r="A590" t="s">
        <v>1201</v>
      </c>
      <c r="B590" t="s">
        <v>1202</v>
      </c>
      <c r="C590" t="s">
        <v>28</v>
      </c>
      <c r="D590" t="s">
        <v>31</v>
      </c>
      <c r="E590" s="5">
        <v>45307</v>
      </c>
      <c r="F590">
        <v>71</v>
      </c>
      <c r="G590" t="s">
        <v>13</v>
      </c>
      <c r="H590" s="6"/>
    </row>
    <row r="591" spans="1:9" x14ac:dyDescent="0.3">
      <c r="A591" t="s">
        <v>1203</v>
      </c>
      <c r="B591" t="s">
        <v>1204</v>
      </c>
      <c r="C591" t="s">
        <v>35</v>
      </c>
      <c r="D591" t="s">
        <v>69</v>
      </c>
      <c r="E591" s="5">
        <v>45319</v>
      </c>
      <c r="F591">
        <v>18</v>
      </c>
      <c r="G591" t="s">
        <v>32</v>
      </c>
      <c r="H591" s="6"/>
    </row>
    <row r="592" spans="1:9" x14ac:dyDescent="0.3">
      <c r="A592" t="s">
        <v>1205</v>
      </c>
      <c r="B592" t="s">
        <v>1206</v>
      </c>
      <c r="C592" t="s">
        <v>41</v>
      </c>
      <c r="D592" t="s">
        <v>12</v>
      </c>
      <c r="E592" s="5">
        <v>45618</v>
      </c>
      <c r="F592">
        <v>10</v>
      </c>
      <c r="G592" t="s">
        <v>18</v>
      </c>
      <c r="H592" s="6">
        <v>45618</v>
      </c>
      <c r="I592">
        <v>4</v>
      </c>
    </row>
    <row r="593" spans="1:9" x14ac:dyDescent="0.3">
      <c r="A593" t="s">
        <v>1207</v>
      </c>
      <c r="B593" t="s">
        <v>1208</v>
      </c>
      <c r="C593" t="s">
        <v>28</v>
      </c>
      <c r="D593" t="s">
        <v>31</v>
      </c>
      <c r="E593" s="5">
        <v>45522</v>
      </c>
      <c r="F593">
        <v>48</v>
      </c>
      <c r="G593" t="s">
        <v>13</v>
      </c>
      <c r="H593" s="6"/>
    </row>
    <row r="594" spans="1:9" x14ac:dyDescent="0.3">
      <c r="A594" t="s">
        <v>1209</v>
      </c>
      <c r="B594" t="s">
        <v>1210</v>
      </c>
      <c r="C594" t="s">
        <v>38</v>
      </c>
      <c r="D594" t="s">
        <v>17</v>
      </c>
      <c r="E594" s="5">
        <v>45567</v>
      </c>
      <c r="F594">
        <v>12</v>
      </c>
      <c r="G594" t="s">
        <v>18</v>
      </c>
      <c r="H594" s="6">
        <v>45567</v>
      </c>
      <c r="I594">
        <v>5</v>
      </c>
    </row>
    <row r="595" spans="1:9" x14ac:dyDescent="0.3">
      <c r="A595" t="s">
        <v>1211</v>
      </c>
      <c r="B595" t="s">
        <v>1212</v>
      </c>
      <c r="C595" t="s">
        <v>41</v>
      </c>
      <c r="D595" t="s">
        <v>12</v>
      </c>
      <c r="E595" s="5">
        <v>45499</v>
      </c>
      <c r="F595">
        <v>5</v>
      </c>
      <c r="G595" t="s">
        <v>32</v>
      </c>
      <c r="H595" s="6"/>
    </row>
    <row r="596" spans="1:9" x14ac:dyDescent="0.3">
      <c r="A596" t="s">
        <v>1213</v>
      </c>
      <c r="B596" t="s">
        <v>1214</v>
      </c>
      <c r="C596" t="s">
        <v>16</v>
      </c>
      <c r="D596" t="s">
        <v>23</v>
      </c>
      <c r="E596" s="5">
        <v>45371</v>
      </c>
      <c r="F596">
        <v>22</v>
      </c>
      <c r="G596" t="s">
        <v>18</v>
      </c>
      <c r="H596" s="6">
        <v>45371</v>
      </c>
      <c r="I596">
        <v>3</v>
      </c>
    </row>
    <row r="597" spans="1:9" x14ac:dyDescent="0.3">
      <c r="A597" t="s">
        <v>1215</v>
      </c>
      <c r="B597" t="s">
        <v>1216</v>
      </c>
      <c r="C597" t="s">
        <v>16</v>
      </c>
      <c r="D597" t="s">
        <v>12</v>
      </c>
      <c r="E597" s="5">
        <v>45392</v>
      </c>
      <c r="F597">
        <v>17</v>
      </c>
      <c r="G597" t="s">
        <v>18</v>
      </c>
      <c r="H597" s="6">
        <v>45392</v>
      </c>
      <c r="I597">
        <v>3</v>
      </c>
    </row>
    <row r="598" spans="1:9" x14ac:dyDescent="0.3">
      <c r="A598" t="s">
        <v>1217</v>
      </c>
      <c r="B598" t="s">
        <v>1218</v>
      </c>
      <c r="C598" t="s">
        <v>11</v>
      </c>
      <c r="D598" t="s">
        <v>69</v>
      </c>
      <c r="E598" s="5">
        <v>45443</v>
      </c>
      <c r="F598">
        <v>30</v>
      </c>
      <c r="G598" t="s">
        <v>13</v>
      </c>
      <c r="H598" s="6"/>
    </row>
    <row r="599" spans="1:9" x14ac:dyDescent="0.3">
      <c r="A599" t="s">
        <v>1219</v>
      </c>
      <c r="B599" t="s">
        <v>1220</v>
      </c>
      <c r="C599" t="s">
        <v>38</v>
      </c>
      <c r="D599" t="s">
        <v>17</v>
      </c>
      <c r="E599" s="5">
        <v>45517</v>
      </c>
      <c r="F599">
        <v>45</v>
      </c>
      <c r="G599" t="s">
        <v>18</v>
      </c>
      <c r="H599" s="6">
        <v>45518</v>
      </c>
      <c r="I599">
        <v>5</v>
      </c>
    </row>
    <row r="600" spans="1:9" x14ac:dyDescent="0.3">
      <c r="A600" t="s">
        <v>1221</v>
      </c>
      <c r="B600" t="s">
        <v>1222</v>
      </c>
      <c r="C600" t="s">
        <v>78</v>
      </c>
      <c r="D600" t="s">
        <v>23</v>
      </c>
      <c r="E600" s="5">
        <v>45391</v>
      </c>
      <c r="F600">
        <v>19</v>
      </c>
      <c r="G600" t="s">
        <v>18</v>
      </c>
      <c r="H600" s="6">
        <v>45391</v>
      </c>
      <c r="I600">
        <v>3</v>
      </c>
    </row>
    <row r="601" spans="1:9" x14ac:dyDescent="0.3">
      <c r="A601" t="s">
        <v>1223</v>
      </c>
      <c r="B601" t="s">
        <v>1224</v>
      </c>
      <c r="C601" t="s">
        <v>41</v>
      </c>
      <c r="D601" t="s">
        <v>31</v>
      </c>
      <c r="E601" s="5">
        <v>45600</v>
      </c>
      <c r="F601">
        <v>5</v>
      </c>
      <c r="G601" t="s">
        <v>18</v>
      </c>
      <c r="H601" s="6">
        <v>45600</v>
      </c>
      <c r="I601">
        <v>5</v>
      </c>
    </row>
    <row r="602" spans="1:9" x14ac:dyDescent="0.3">
      <c r="A602" t="s">
        <v>1225</v>
      </c>
      <c r="B602" t="s">
        <v>1226</v>
      </c>
      <c r="C602" t="s">
        <v>38</v>
      </c>
      <c r="D602" t="s">
        <v>31</v>
      </c>
      <c r="E602" s="5">
        <v>45312</v>
      </c>
      <c r="F602">
        <v>15</v>
      </c>
      <c r="G602" t="s">
        <v>18</v>
      </c>
      <c r="H602" s="6">
        <v>45312</v>
      </c>
      <c r="I602">
        <v>3</v>
      </c>
    </row>
    <row r="603" spans="1:9" x14ac:dyDescent="0.3">
      <c r="A603" t="s">
        <v>1227</v>
      </c>
      <c r="B603" t="s">
        <v>1228</v>
      </c>
      <c r="C603" t="s">
        <v>16</v>
      </c>
      <c r="D603" t="s">
        <v>23</v>
      </c>
      <c r="E603" s="5">
        <v>45562</v>
      </c>
      <c r="F603">
        <v>30</v>
      </c>
      <c r="G603" t="s">
        <v>32</v>
      </c>
      <c r="H603" s="6"/>
    </row>
    <row r="604" spans="1:9" x14ac:dyDescent="0.3">
      <c r="A604" t="s">
        <v>1229</v>
      </c>
      <c r="B604" t="s">
        <v>1230</v>
      </c>
      <c r="C604" t="s">
        <v>41</v>
      </c>
      <c r="D604" t="s">
        <v>69</v>
      </c>
      <c r="E604" s="5">
        <v>45556</v>
      </c>
      <c r="F604">
        <v>3</v>
      </c>
      <c r="G604" t="s">
        <v>18</v>
      </c>
      <c r="H604" s="6">
        <v>45556</v>
      </c>
      <c r="I604">
        <v>5</v>
      </c>
    </row>
    <row r="605" spans="1:9" x14ac:dyDescent="0.3">
      <c r="A605" t="s">
        <v>1231</v>
      </c>
      <c r="B605" t="s">
        <v>1232</v>
      </c>
      <c r="C605" t="s">
        <v>52</v>
      </c>
      <c r="D605" t="s">
        <v>31</v>
      </c>
      <c r="E605" s="5">
        <v>45437</v>
      </c>
      <c r="F605">
        <v>23</v>
      </c>
      <c r="G605" t="s">
        <v>18</v>
      </c>
      <c r="H605" s="6">
        <v>45437</v>
      </c>
      <c r="I605">
        <v>3</v>
      </c>
    </row>
    <row r="606" spans="1:9" x14ac:dyDescent="0.3">
      <c r="A606" t="s">
        <v>1233</v>
      </c>
      <c r="B606" t="s">
        <v>1234</v>
      </c>
      <c r="C606" t="s">
        <v>52</v>
      </c>
      <c r="D606" t="s">
        <v>23</v>
      </c>
      <c r="E606" s="5">
        <v>45539</v>
      </c>
      <c r="F606">
        <v>8</v>
      </c>
      <c r="G606" t="s">
        <v>18</v>
      </c>
      <c r="H606" s="6">
        <v>45539</v>
      </c>
      <c r="I606">
        <v>4</v>
      </c>
    </row>
    <row r="607" spans="1:9" x14ac:dyDescent="0.3">
      <c r="A607" t="s">
        <v>1235</v>
      </c>
      <c r="B607" t="s">
        <v>1236</v>
      </c>
      <c r="C607" t="s">
        <v>38</v>
      </c>
      <c r="D607" t="s">
        <v>17</v>
      </c>
      <c r="E607" s="5">
        <v>45319</v>
      </c>
      <c r="F607">
        <v>47</v>
      </c>
      <c r="G607" t="s">
        <v>18</v>
      </c>
      <c r="H607" s="6">
        <v>45320</v>
      </c>
      <c r="I607">
        <v>2</v>
      </c>
    </row>
    <row r="608" spans="1:9" x14ac:dyDescent="0.3">
      <c r="A608" t="s">
        <v>1237</v>
      </c>
      <c r="B608" t="s">
        <v>1238</v>
      </c>
      <c r="C608" t="s">
        <v>52</v>
      </c>
      <c r="D608" t="s">
        <v>31</v>
      </c>
      <c r="E608" s="5">
        <v>45337</v>
      </c>
      <c r="F608">
        <v>24</v>
      </c>
      <c r="G608" t="s">
        <v>18</v>
      </c>
      <c r="H608" s="6">
        <v>45338</v>
      </c>
      <c r="I608">
        <v>3</v>
      </c>
    </row>
    <row r="609" spans="1:9" x14ac:dyDescent="0.3">
      <c r="A609" t="s">
        <v>1239</v>
      </c>
      <c r="B609" t="s">
        <v>1240</v>
      </c>
      <c r="C609" t="s">
        <v>52</v>
      </c>
      <c r="D609" t="s">
        <v>23</v>
      </c>
      <c r="E609" s="5">
        <v>45605</v>
      </c>
      <c r="F609">
        <v>4</v>
      </c>
      <c r="G609" t="s">
        <v>18</v>
      </c>
      <c r="H609" s="6">
        <v>45605</v>
      </c>
      <c r="I609">
        <v>5</v>
      </c>
    </row>
    <row r="610" spans="1:9" x14ac:dyDescent="0.3">
      <c r="A610" t="s">
        <v>1241</v>
      </c>
      <c r="B610" t="s">
        <v>1242</v>
      </c>
      <c r="C610" t="s">
        <v>28</v>
      </c>
      <c r="D610" t="s">
        <v>12</v>
      </c>
      <c r="E610" s="5">
        <v>45485</v>
      </c>
      <c r="F610">
        <v>61</v>
      </c>
      <c r="G610" t="s">
        <v>18</v>
      </c>
      <c r="H610" s="6">
        <v>45487</v>
      </c>
      <c r="I610">
        <v>1</v>
      </c>
    </row>
    <row r="611" spans="1:9" x14ac:dyDescent="0.3">
      <c r="A611" t="s">
        <v>1243</v>
      </c>
      <c r="B611" t="s">
        <v>1244</v>
      </c>
      <c r="C611" t="s">
        <v>16</v>
      </c>
      <c r="D611" t="s">
        <v>69</v>
      </c>
      <c r="E611" s="5">
        <v>45432</v>
      </c>
      <c r="F611">
        <v>5</v>
      </c>
      <c r="G611" t="s">
        <v>18</v>
      </c>
      <c r="H611" s="6">
        <v>45432</v>
      </c>
      <c r="I611">
        <v>5</v>
      </c>
    </row>
    <row r="612" spans="1:9" x14ac:dyDescent="0.3">
      <c r="A612" t="s">
        <v>1245</v>
      </c>
      <c r="B612" t="s">
        <v>1246</v>
      </c>
      <c r="C612" t="s">
        <v>11</v>
      </c>
      <c r="D612" t="s">
        <v>23</v>
      </c>
      <c r="E612" s="5">
        <v>45315</v>
      </c>
      <c r="F612">
        <v>38</v>
      </c>
      <c r="G612" t="s">
        <v>18</v>
      </c>
      <c r="H612" s="6">
        <v>45316</v>
      </c>
      <c r="I612">
        <v>5</v>
      </c>
    </row>
    <row r="613" spans="1:9" x14ac:dyDescent="0.3">
      <c r="A613" t="s">
        <v>1247</v>
      </c>
      <c r="B613" t="s">
        <v>1248</v>
      </c>
      <c r="C613" t="s">
        <v>11</v>
      </c>
      <c r="D613" t="s">
        <v>31</v>
      </c>
      <c r="E613" s="5">
        <v>45360</v>
      </c>
      <c r="F613">
        <v>45</v>
      </c>
      <c r="G613" t="s">
        <v>18</v>
      </c>
      <c r="H613" s="6">
        <v>45361</v>
      </c>
      <c r="I613">
        <v>2</v>
      </c>
    </row>
    <row r="614" spans="1:9" x14ac:dyDescent="0.3">
      <c r="A614" t="s">
        <v>1249</v>
      </c>
      <c r="B614" t="s">
        <v>1250</v>
      </c>
      <c r="C614" t="s">
        <v>28</v>
      </c>
      <c r="D614" t="s">
        <v>69</v>
      </c>
      <c r="E614" s="5">
        <v>45355</v>
      </c>
      <c r="F614">
        <v>90</v>
      </c>
      <c r="G614" t="s">
        <v>32</v>
      </c>
      <c r="H614" s="6"/>
    </row>
    <row r="615" spans="1:9" x14ac:dyDescent="0.3">
      <c r="A615" t="s">
        <v>1251</v>
      </c>
      <c r="B615" t="s">
        <v>1252</v>
      </c>
      <c r="C615" t="s">
        <v>41</v>
      </c>
      <c r="D615" t="s">
        <v>69</v>
      </c>
      <c r="E615" s="5">
        <v>45618</v>
      </c>
      <c r="F615">
        <v>11</v>
      </c>
      <c r="G615" t="s">
        <v>18</v>
      </c>
      <c r="H615" s="6">
        <v>45618</v>
      </c>
      <c r="I615">
        <v>4</v>
      </c>
    </row>
    <row r="616" spans="1:9" x14ac:dyDescent="0.3">
      <c r="A616" t="s">
        <v>1253</v>
      </c>
      <c r="B616" t="s">
        <v>1254</v>
      </c>
      <c r="C616" t="s">
        <v>52</v>
      </c>
      <c r="D616" t="s">
        <v>31</v>
      </c>
      <c r="E616" s="5">
        <v>45300</v>
      </c>
      <c r="F616">
        <v>18</v>
      </c>
      <c r="G616" t="s">
        <v>32</v>
      </c>
      <c r="H616" s="6"/>
    </row>
    <row r="617" spans="1:9" x14ac:dyDescent="0.3">
      <c r="A617" t="s">
        <v>1255</v>
      </c>
      <c r="B617" t="s">
        <v>1256</v>
      </c>
      <c r="C617" t="s">
        <v>38</v>
      </c>
      <c r="D617" t="s">
        <v>12</v>
      </c>
      <c r="E617" s="5">
        <v>45618</v>
      </c>
      <c r="F617">
        <v>36</v>
      </c>
      <c r="G617" t="s">
        <v>18</v>
      </c>
      <c r="H617" s="6">
        <v>45619</v>
      </c>
      <c r="I617">
        <v>2</v>
      </c>
    </row>
    <row r="618" spans="1:9" x14ac:dyDescent="0.3">
      <c r="A618" t="s">
        <v>1257</v>
      </c>
      <c r="B618" t="s">
        <v>1258</v>
      </c>
      <c r="C618" t="s">
        <v>52</v>
      </c>
      <c r="D618" t="s">
        <v>12</v>
      </c>
      <c r="E618" s="5">
        <v>45516</v>
      </c>
      <c r="F618">
        <v>14</v>
      </c>
      <c r="G618" t="s">
        <v>18</v>
      </c>
      <c r="H618" s="6">
        <v>45516</v>
      </c>
      <c r="I618">
        <v>3</v>
      </c>
    </row>
    <row r="619" spans="1:9" x14ac:dyDescent="0.3">
      <c r="A619" t="s">
        <v>1259</v>
      </c>
      <c r="B619" t="s">
        <v>1260</v>
      </c>
      <c r="C619" t="s">
        <v>78</v>
      </c>
      <c r="D619" t="s">
        <v>31</v>
      </c>
      <c r="E619" s="5">
        <v>45483</v>
      </c>
      <c r="F619">
        <v>18</v>
      </c>
      <c r="G619" t="s">
        <v>13</v>
      </c>
      <c r="H619" s="6"/>
    </row>
    <row r="620" spans="1:9" x14ac:dyDescent="0.3">
      <c r="A620" t="s">
        <v>1261</v>
      </c>
      <c r="B620" t="s">
        <v>1262</v>
      </c>
      <c r="C620" t="s">
        <v>35</v>
      </c>
      <c r="D620" t="s">
        <v>12</v>
      </c>
      <c r="E620" s="5">
        <v>45315</v>
      </c>
      <c r="F620">
        <v>65</v>
      </c>
      <c r="G620" t="s">
        <v>18</v>
      </c>
      <c r="H620" s="6">
        <v>45317</v>
      </c>
      <c r="I620">
        <v>5</v>
      </c>
    </row>
    <row r="621" spans="1:9" x14ac:dyDescent="0.3">
      <c r="A621" t="s">
        <v>1263</v>
      </c>
      <c r="B621" t="s">
        <v>1264</v>
      </c>
      <c r="C621" t="s">
        <v>28</v>
      </c>
      <c r="D621" t="s">
        <v>12</v>
      </c>
      <c r="E621" s="5">
        <v>45580</v>
      </c>
      <c r="F621">
        <v>28</v>
      </c>
      <c r="G621" t="s">
        <v>18</v>
      </c>
      <c r="H621" s="6">
        <v>45581</v>
      </c>
      <c r="I621">
        <v>2</v>
      </c>
    </row>
    <row r="622" spans="1:9" x14ac:dyDescent="0.3">
      <c r="A622" t="s">
        <v>1265</v>
      </c>
      <c r="B622" t="s">
        <v>1266</v>
      </c>
      <c r="C622" t="s">
        <v>35</v>
      </c>
      <c r="D622" t="s">
        <v>69</v>
      </c>
      <c r="E622" s="5">
        <v>45343</v>
      </c>
      <c r="F622">
        <v>48</v>
      </c>
      <c r="G622" t="s">
        <v>32</v>
      </c>
      <c r="H622" s="6"/>
    </row>
    <row r="623" spans="1:9" x14ac:dyDescent="0.3">
      <c r="A623" t="s">
        <v>1267</v>
      </c>
      <c r="B623" t="s">
        <v>1268</v>
      </c>
      <c r="C623" t="s">
        <v>16</v>
      </c>
      <c r="D623" t="s">
        <v>31</v>
      </c>
      <c r="E623" s="5">
        <v>45527</v>
      </c>
      <c r="F623">
        <v>16</v>
      </c>
      <c r="G623" t="s">
        <v>13</v>
      </c>
      <c r="H623" s="6"/>
    </row>
    <row r="624" spans="1:9" x14ac:dyDescent="0.3">
      <c r="A624" t="s">
        <v>1269</v>
      </c>
      <c r="B624" t="s">
        <v>1270</v>
      </c>
      <c r="C624" t="s">
        <v>35</v>
      </c>
      <c r="D624" t="s">
        <v>12</v>
      </c>
      <c r="E624" s="5">
        <v>45347</v>
      </c>
      <c r="F624">
        <v>43</v>
      </c>
      <c r="G624" t="s">
        <v>13</v>
      </c>
      <c r="H624" s="6"/>
    </row>
    <row r="625" spans="1:9" x14ac:dyDescent="0.3">
      <c r="A625" t="s">
        <v>1271</v>
      </c>
      <c r="B625" t="s">
        <v>1272</v>
      </c>
      <c r="C625" t="s">
        <v>11</v>
      </c>
      <c r="D625" t="s">
        <v>12</v>
      </c>
      <c r="E625" s="5">
        <v>45628</v>
      </c>
      <c r="F625">
        <v>38</v>
      </c>
      <c r="G625" t="s">
        <v>18</v>
      </c>
      <c r="H625" s="6">
        <v>45629</v>
      </c>
      <c r="I625">
        <v>2</v>
      </c>
    </row>
    <row r="626" spans="1:9" x14ac:dyDescent="0.3">
      <c r="A626" t="s">
        <v>1273</v>
      </c>
      <c r="B626" t="s">
        <v>1274</v>
      </c>
      <c r="C626" t="s">
        <v>38</v>
      </c>
      <c r="D626" t="s">
        <v>17</v>
      </c>
      <c r="E626" s="5">
        <v>45379</v>
      </c>
      <c r="F626">
        <v>23</v>
      </c>
      <c r="G626" t="s">
        <v>18</v>
      </c>
      <c r="H626" s="6">
        <v>45379</v>
      </c>
      <c r="I626">
        <v>3</v>
      </c>
    </row>
    <row r="627" spans="1:9" x14ac:dyDescent="0.3">
      <c r="A627" t="s">
        <v>1275</v>
      </c>
      <c r="B627" t="s">
        <v>1276</v>
      </c>
      <c r="C627" t="s">
        <v>28</v>
      </c>
      <c r="D627" t="s">
        <v>69</v>
      </c>
      <c r="E627" s="5">
        <v>45560</v>
      </c>
      <c r="F627">
        <v>55</v>
      </c>
      <c r="G627" t="s">
        <v>18</v>
      </c>
      <c r="H627" s="6">
        <v>45562</v>
      </c>
      <c r="I627">
        <v>1</v>
      </c>
    </row>
    <row r="628" spans="1:9" x14ac:dyDescent="0.3">
      <c r="A628" t="s">
        <v>1277</v>
      </c>
      <c r="B628" t="s">
        <v>1278</v>
      </c>
      <c r="C628" t="s">
        <v>52</v>
      </c>
      <c r="D628" t="s">
        <v>12</v>
      </c>
      <c r="E628" s="5">
        <v>45489</v>
      </c>
      <c r="F628">
        <v>22</v>
      </c>
      <c r="G628" t="s">
        <v>32</v>
      </c>
      <c r="H628" s="6"/>
    </row>
    <row r="629" spans="1:9" x14ac:dyDescent="0.3">
      <c r="A629" t="s">
        <v>1279</v>
      </c>
      <c r="B629" t="s">
        <v>1280</v>
      </c>
      <c r="C629" t="s">
        <v>35</v>
      </c>
      <c r="D629" t="s">
        <v>17</v>
      </c>
      <c r="E629" s="5">
        <v>45307</v>
      </c>
      <c r="F629">
        <v>31</v>
      </c>
      <c r="G629" t="s">
        <v>18</v>
      </c>
      <c r="H629" s="6">
        <v>45308</v>
      </c>
      <c r="I629">
        <v>2</v>
      </c>
    </row>
    <row r="630" spans="1:9" x14ac:dyDescent="0.3">
      <c r="A630" t="s">
        <v>1281</v>
      </c>
      <c r="B630" t="s">
        <v>1282</v>
      </c>
      <c r="C630" t="s">
        <v>52</v>
      </c>
      <c r="D630" t="s">
        <v>69</v>
      </c>
      <c r="E630" s="5">
        <v>45638</v>
      </c>
      <c r="F630">
        <v>23</v>
      </c>
      <c r="G630" t="s">
        <v>13</v>
      </c>
      <c r="H630" s="6"/>
    </row>
    <row r="631" spans="1:9" x14ac:dyDescent="0.3">
      <c r="A631" t="s">
        <v>1283</v>
      </c>
      <c r="B631" t="s">
        <v>1284</v>
      </c>
      <c r="C631" t="s">
        <v>28</v>
      </c>
      <c r="D631" t="s">
        <v>12</v>
      </c>
      <c r="E631" s="5">
        <v>45591</v>
      </c>
      <c r="F631">
        <v>36</v>
      </c>
      <c r="G631" t="s">
        <v>13</v>
      </c>
      <c r="H631" s="6"/>
    </row>
    <row r="632" spans="1:9" x14ac:dyDescent="0.3">
      <c r="A632" t="s">
        <v>1285</v>
      </c>
      <c r="B632" t="s">
        <v>1286</v>
      </c>
      <c r="C632" t="s">
        <v>41</v>
      </c>
      <c r="D632" t="s">
        <v>31</v>
      </c>
      <c r="E632" s="5">
        <v>45647</v>
      </c>
      <c r="F632">
        <v>10</v>
      </c>
      <c r="G632" t="s">
        <v>13</v>
      </c>
      <c r="H632" s="6"/>
    </row>
    <row r="633" spans="1:9" x14ac:dyDescent="0.3">
      <c r="A633" t="s">
        <v>1287</v>
      </c>
      <c r="B633" t="s">
        <v>1288</v>
      </c>
      <c r="C633" t="s">
        <v>78</v>
      </c>
      <c r="D633" t="s">
        <v>12</v>
      </c>
      <c r="E633" s="5">
        <v>45362</v>
      </c>
      <c r="F633">
        <v>18</v>
      </c>
      <c r="G633" t="s">
        <v>18</v>
      </c>
      <c r="H633" s="6">
        <v>45362</v>
      </c>
      <c r="I633">
        <v>3</v>
      </c>
    </row>
    <row r="634" spans="1:9" x14ac:dyDescent="0.3">
      <c r="A634" t="s">
        <v>1289</v>
      </c>
      <c r="B634" t="s">
        <v>1290</v>
      </c>
      <c r="C634" t="s">
        <v>35</v>
      </c>
      <c r="D634" t="s">
        <v>17</v>
      </c>
      <c r="E634" s="5">
        <v>45299</v>
      </c>
      <c r="F634">
        <v>11</v>
      </c>
      <c r="G634" t="s">
        <v>18</v>
      </c>
      <c r="H634" s="6">
        <v>45299</v>
      </c>
      <c r="I634">
        <v>4</v>
      </c>
    </row>
    <row r="635" spans="1:9" x14ac:dyDescent="0.3">
      <c r="A635" t="s">
        <v>1291</v>
      </c>
      <c r="B635" t="s">
        <v>1292</v>
      </c>
      <c r="C635" t="s">
        <v>41</v>
      </c>
      <c r="D635" t="s">
        <v>69</v>
      </c>
      <c r="E635" s="5">
        <v>45321</v>
      </c>
      <c r="F635">
        <v>10</v>
      </c>
      <c r="G635" t="s">
        <v>18</v>
      </c>
      <c r="H635" s="6">
        <v>45321</v>
      </c>
      <c r="I635">
        <v>4</v>
      </c>
    </row>
    <row r="636" spans="1:9" x14ac:dyDescent="0.3">
      <c r="A636" t="s">
        <v>1293</v>
      </c>
      <c r="B636" t="s">
        <v>1294</v>
      </c>
      <c r="C636" t="s">
        <v>52</v>
      </c>
      <c r="D636" t="s">
        <v>17</v>
      </c>
      <c r="E636" s="5">
        <v>45547</v>
      </c>
      <c r="F636">
        <v>17</v>
      </c>
      <c r="G636" t="s">
        <v>18</v>
      </c>
      <c r="H636" s="6">
        <v>45547</v>
      </c>
      <c r="I636">
        <v>3</v>
      </c>
    </row>
    <row r="637" spans="1:9" x14ac:dyDescent="0.3">
      <c r="A637" t="s">
        <v>1295</v>
      </c>
      <c r="B637" t="s">
        <v>1296</v>
      </c>
      <c r="C637" t="s">
        <v>11</v>
      </c>
      <c r="D637" t="s">
        <v>12</v>
      </c>
      <c r="E637" s="5">
        <v>45416</v>
      </c>
      <c r="F637">
        <v>25</v>
      </c>
      <c r="G637" t="s">
        <v>18</v>
      </c>
      <c r="H637" s="6">
        <v>45417</v>
      </c>
      <c r="I637">
        <v>2</v>
      </c>
    </row>
    <row r="638" spans="1:9" x14ac:dyDescent="0.3">
      <c r="A638" t="s">
        <v>1297</v>
      </c>
      <c r="B638" t="s">
        <v>1298</v>
      </c>
      <c r="C638" t="s">
        <v>28</v>
      </c>
      <c r="D638" t="s">
        <v>23</v>
      </c>
      <c r="E638" s="5">
        <v>45299</v>
      </c>
      <c r="F638">
        <v>43</v>
      </c>
      <c r="G638" t="s">
        <v>18</v>
      </c>
      <c r="H638" s="6">
        <v>45300</v>
      </c>
      <c r="I638">
        <v>5</v>
      </c>
    </row>
    <row r="639" spans="1:9" x14ac:dyDescent="0.3">
      <c r="A639" t="s">
        <v>1299</v>
      </c>
      <c r="B639" t="s">
        <v>1300</v>
      </c>
      <c r="C639" t="s">
        <v>78</v>
      </c>
      <c r="D639" t="s">
        <v>12</v>
      </c>
      <c r="E639" s="5">
        <v>45499</v>
      </c>
      <c r="F639">
        <v>18</v>
      </c>
      <c r="G639" t="s">
        <v>32</v>
      </c>
      <c r="H639" s="6"/>
    </row>
    <row r="640" spans="1:9" x14ac:dyDescent="0.3">
      <c r="A640" t="s">
        <v>1301</v>
      </c>
      <c r="B640" t="s">
        <v>1302</v>
      </c>
      <c r="C640" t="s">
        <v>38</v>
      </c>
      <c r="D640" t="s">
        <v>31</v>
      </c>
      <c r="E640" s="5">
        <v>45583</v>
      </c>
      <c r="F640">
        <v>47</v>
      </c>
      <c r="G640" t="s">
        <v>32</v>
      </c>
      <c r="H640" s="6"/>
    </row>
    <row r="641" spans="1:9" x14ac:dyDescent="0.3">
      <c r="A641" t="s">
        <v>1303</v>
      </c>
      <c r="B641" t="s">
        <v>1304</v>
      </c>
      <c r="C641" t="s">
        <v>11</v>
      </c>
      <c r="D641" t="s">
        <v>23</v>
      </c>
      <c r="E641" s="5">
        <v>45304</v>
      </c>
      <c r="F641">
        <v>32</v>
      </c>
      <c r="G641" t="s">
        <v>18</v>
      </c>
      <c r="H641" s="6">
        <v>45305</v>
      </c>
      <c r="I641">
        <v>2</v>
      </c>
    </row>
    <row r="642" spans="1:9" x14ac:dyDescent="0.3">
      <c r="A642" t="s">
        <v>1305</v>
      </c>
      <c r="B642" t="s">
        <v>1306</v>
      </c>
      <c r="C642" t="s">
        <v>38</v>
      </c>
      <c r="D642" t="s">
        <v>31</v>
      </c>
      <c r="E642" s="5">
        <v>45367</v>
      </c>
      <c r="F642">
        <v>20</v>
      </c>
      <c r="G642" t="s">
        <v>13</v>
      </c>
      <c r="H642" s="6"/>
    </row>
    <row r="643" spans="1:9" x14ac:dyDescent="0.3">
      <c r="A643" t="s">
        <v>1307</v>
      </c>
      <c r="B643" t="s">
        <v>1308</v>
      </c>
      <c r="C643" t="s">
        <v>38</v>
      </c>
      <c r="D643" t="s">
        <v>17</v>
      </c>
      <c r="E643" s="5">
        <v>45435</v>
      </c>
      <c r="F643">
        <v>38</v>
      </c>
      <c r="G643" t="s">
        <v>18</v>
      </c>
      <c r="H643" s="6">
        <v>45436</v>
      </c>
      <c r="I643">
        <v>2</v>
      </c>
    </row>
    <row r="644" spans="1:9" x14ac:dyDescent="0.3">
      <c r="A644" t="s">
        <v>1309</v>
      </c>
      <c r="B644" t="s">
        <v>1310</v>
      </c>
      <c r="C644" t="s">
        <v>52</v>
      </c>
      <c r="D644" t="s">
        <v>69</v>
      </c>
      <c r="E644" s="5">
        <v>45296</v>
      </c>
      <c r="F644">
        <v>16</v>
      </c>
      <c r="G644" t="s">
        <v>13</v>
      </c>
      <c r="H644" s="6"/>
    </row>
    <row r="645" spans="1:9" x14ac:dyDescent="0.3">
      <c r="A645" t="s">
        <v>1311</v>
      </c>
      <c r="B645" t="s">
        <v>1312</v>
      </c>
      <c r="C645" t="s">
        <v>41</v>
      </c>
      <c r="D645" t="s">
        <v>17</v>
      </c>
      <c r="E645" s="5">
        <v>45641</v>
      </c>
      <c r="F645">
        <v>8</v>
      </c>
      <c r="G645" t="s">
        <v>18</v>
      </c>
      <c r="H645" s="6">
        <v>45641</v>
      </c>
      <c r="I645">
        <v>4</v>
      </c>
    </row>
    <row r="646" spans="1:9" x14ac:dyDescent="0.3">
      <c r="A646" t="s">
        <v>1313</v>
      </c>
      <c r="B646" t="s">
        <v>1314</v>
      </c>
      <c r="C646" t="s">
        <v>38</v>
      </c>
      <c r="D646" t="s">
        <v>17</v>
      </c>
      <c r="E646" s="5">
        <v>45400</v>
      </c>
      <c r="F646">
        <v>33</v>
      </c>
      <c r="G646" t="s">
        <v>18</v>
      </c>
      <c r="H646" s="6">
        <v>45401</v>
      </c>
      <c r="I646">
        <v>2</v>
      </c>
    </row>
    <row r="647" spans="1:9" x14ac:dyDescent="0.3">
      <c r="A647" t="s">
        <v>1315</v>
      </c>
      <c r="B647" t="s">
        <v>1316</v>
      </c>
      <c r="C647" t="s">
        <v>52</v>
      </c>
      <c r="D647" t="s">
        <v>23</v>
      </c>
      <c r="E647" s="5">
        <v>45406</v>
      </c>
      <c r="F647">
        <v>24</v>
      </c>
      <c r="G647" t="s">
        <v>13</v>
      </c>
      <c r="H647" s="6"/>
    </row>
    <row r="648" spans="1:9" x14ac:dyDescent="0.3">
      <c r="A648" t="s">
        <v>1317</v>
      </c>
      <c r="B648" t="s">
        <v>1318</v>
      </c>
      <c r="C648" t="s">
        <v>35</v>
      </c>
      <c r="D648" t="s">
        <v>17</v>
      </c>
      <c r="E648" s="5">
        <v>45530</v>
      </c>
      <c r="F648">
        <v>24</v>
      </c>
      <c r="G648" t="s">
        <v>13</v>
      </c>
      <c r="H648" s="6"/>
    </row>
    <row r="649" spans="1:9" x14ac:dyDescent="0.3">
      <c r="A649" t="s">
        <v>1319</v>
      </c>
      <c r="B649" t="s">
        <v>1320</v>
      </c>
      <c r="C649" t="s">
        <v>52</v>
      </c>
      <c r="D649" t="s">
        <v>23</v>
      </c>
      <c r="E649" s="5">
        <v>45487</v>
      </c>
      <c r="F649">
        <v>9</v>
      </c>
      <c r="G649" t="s">
        <v>32</v>
      </c>
      <c r="H649" s="6"/>
    </row>
    <row r="650" spans="1:9" x14ac:dyDescent="0.3">
      <c r="A650" t="s">
        <v>1321</v>
      </c>
      <c r="B650" t="s">
        <v>1322</v>
      </c>
      <c r="C650" t="s">
        <v>38</v>
      </c>
      <c r="D650" t="s">
        <v>31</v>
      </c>
      <c r="E650" s="5">
        <v>45520</v>
      </c>
      <c r="F650">
        <v>10</v>
      </c>
      <c r="G650" t="s">
        <v>18</v>
      </c>
      <c r="H650" s="6">
        <v>45520</v>
      </c>
      <c r="I650">
        <v>4</v>
      </c>
    </row>
    <row r="651" spans="1:9" x14ac:dyDescent="0.3">
      <c r="A651" t="s">
        <v>1323</v>
      </c>
      <c r="B651" t="s">
        <v>1324</v>
      </c>
      <c r="C651" t="s">
        <v>78</v>
      </c>
      <c r="D651" t="s">
        <v>31</v>
      </c>
      <c r="E651" s="5">
        <v>45656</v>
      </c>
      <c r="F651">
        <v>12</v>
      </c>
      <c r="G651" t="s">
        <v>18</v>
      </c>
      <c r="H651" s="6">
        <v>45656</v>
      </c>
      <c r="I651">
        <v>4</v>
      </c>
    </row>
    <row r="652" spans="1:9" x14ac:dyDescent="0.3">
      <c r="A652" t="s">
        <v>1325</v>
      </c>
      <c r="B652" t="s">
        <v>1326</v>
      </c>
      <c r="C652" t="s">
        <v>16</v>
      </c>
      <c r="D652" t="s">
        <v>12</v>
      </c>
      <c r="E652" s="5">
        <v>45292</v>
      </c>
      <c r="F652">
        <v>16</v>
      </c>
      <c r="G652" t="s">
        <v>18</v>
      </c>
      <c r="H652" s="6">
        <v>45292</v>
      </c>
      <c r="I652">
        <v>5</v>
      </c>
    </row>
    <row r="653" spans="1:9" x14ac:dyDescent="0.3">
      <c r="A653" t="s">
        <v>1327</v>
      </c>
      <c r="B653" t="s">
        <v>1328</v>
      </c>
      <c r="C653" t="s">
        <v>52</v>
      </c>
      <c r="D653" t="s">
        <v>12</v>
      </c>
      <c r="E653" s="5">
        <v>45601</v>
      </c>
      <c r="F653">
        <v>19</v>
      </c>
      <c r="G653" t="s">
        <v>18</v>
      </c>
      <c r="H653" s="6">
        <v>45601</v>
      </c>
      <c r="I653">
        <v>3</v>
      </c>
    </row>
    <row r="654" spans="1:9" x14ac:dyDescent="0.3">
      <c r="A654" t="s">
        <v>1329</v>
      </c>
      <c r="B654" t="s">
        <v>1330</v>
      </c>
      <c r="C654" t="s">
        <v>16</v>
      </c>
      <c r="D654" t="s">
        <v>31</v>
      </c>
      <c r="E654" s="5">
        <v>45440</v>
      </c>
      <c r="F654">
        <v>36</v>
      </c>
      <c r="G654" t="s">
        <v>32</v>
      </c>
      <c r="H654" s="6"/>
    </row>
    <row r="655" spans="1:9" x14ac:dyDescent="0.3">
      <c r="A655" t="s">
        <v>1331</v>
      </c>
      <c r="B655" t="s">
        <v>1332</v>
      </c>
      <c r="C655" t="s">
        <v>41</v>
      </c>
      <c r="D655" t="s">
        <v>31</v>
      </c>
      <c r="E655" s="5">
        <v>45351</v>
      </c>
      <c r="F655">
        <v>9</v>
      </c>
      <c r="G655" t="s">
        <v>32</v>
      </c>
      <c r="H655" s="6"/>
    </row>
    <row r="656" spans="1:9" x14ac:dyDescent="0.3">
      <c r="A656" t="s">
        <v>1333</v>
      </c>
      <c r="B656" t="s">
        <v>1334</v>
      </c>
      <c r="C656" t="s">
        <v>28</v>
      </c>
      <c r="D656" t="s">
        <v>17</v>
      </c>
      <c r="E656" s="5">
        <v>45603</v>
      </c>
      <c r="F656">
        <v>83</v>
      </c>
      <c r="G656" t="s">
        <v>18</v>
      </c>
      <c r="H656" s="6">
        <v>45606</v>
      </c>
      <c r="I656">
        <v>1</v>
      </c>
    </row>
    <row r="657" spans="1:9" x14ac:dyDescent="0.3">
      <c r="A657" t="s">
        <v>1335</v>
      </c>
      <c r="B657" t="s">
        <v>1336</v>
      </c>
      <c r="C657" t="s">
        <v>78</v>
      </c>
      <c r="D657" t="s">
        <v>23</v>
      </c>
      <c r="E657" s="5">
        <v>45480</v>
      </c>
      <c r="F657">
        <v>7</v>
      </c>
      <c r="G657" t="s">
        <v>32</v>
      </c>
      <c r="H657" s="6"/>
    </row>
    <row r="658" spans="1:9" x14ac:dyDescent="0.3">
      <c r="A658" t="s">
        <v>1337</v>
      </c>
      <c r="B658" t="s">
        <v>1338</v>
      </c>
      <c r="C658" t="s">
        <v>11</v>
      </c>
      <c r="D658" t="s">
        <v>69</v>
      </c>
      <c r="E658" s="5">
        <v>45450</v>
      </c>
      <c r="F658">
        <v>17</v>
      </c>
      <c r="G658" t="s">
        <v>32</v>
      </c>
      <c r="H658" s="6"/>
    </row>
    <row r="659" spans="1:9" x14ac:dyDescent="0.3">
      <c r="A659" t="s">
        <v>1339</v>
      </c>
      <c r="B659" t="s">
        <v>1340</v>
      </c>
      <c r="C659" t="s">
        <v>38</v>
      </c>
      <c r="D659" t="s">
        <v>69</v>
      </c>
      <c r="E659" s="5">
        <v>45548</v>
      </c>
      <c r="F659">
        <v>32</v>
      </c>
      <c r="G659" t="s">
        <v>18</v>
      </c>
      <c r="H659" s="6">
        <v>45549</v>
      </c>
      <c r="I659">
        <v>2</v>
      </c>
    </row>
    <row r="660" spans="1:9" x14ac:dyDescent="0.3">
      <c r="A660" t="s">
        <v>1341</v>
      </c>
      <c r="B660" t="s">
        <v>1342</v>
      </c>
      <c r="C660" t="s">
        <v>41</v>
      </c>
      <c r="D660" t="s">
        <v>12</v>
      </c>
      <c r="E660" s="5">
        <v>45353</v>
      </c>
      <c r="F660">
        <v>7</v>
      </c>
      <c r="G660" t="s">
        <v>13</v>
      </c>
      <c r="H660" s="6"/>
    </row>
    <row r="661" spans="1:9" x14ac:dyDescent="0.3">
      <c r="A661" t="s">
        <v>1343</v>
      </c>
      <c r="B661" t="s">
        <v>1344</v>
      </c>
      <c r="C661" t="s">
        <v>78</v>
      </c>
      <c r="D661" t="s">
        <v>23</v>
      </c>
      <c r="E661" s="5">
        <v>45604</v>
      </c>
      <c r="F661">
        <v>21</v>
      </c>
      <c r="G661" t="s">
        <v>13</v>
      </c>
      <c r="H661" s="6"/>
    </row>
    <row r="662" spans="1:9" x14ac:dyDescent="0.3">
      <c r="A662" t="s">
        <v>1345</v>
      </c>
      <c r="B662" t="s">
        <v>1346</v>
      </c>
      <c r="C662" t="s">
        <v>16</v>
      </c>
      <c r="D662" t="s">
        <v>31</v>
      </c>
      <c r="E662" s="5">
        <v>45385</v>
      </c>
      <c r="F662">
        <v>19</v>
      </c>
      <c r="G662" t="s">
        <v>13</v>
      </c>
      <c r="H662" s="6"/>
    </row>
    <row r="663" spans="1:9" x14ac:dyDescent="0.3">
      <c r="A663" t="s">
        <v>1347</v>
      </c>
      <c r="B663" t="s">
        <v>1348</v>
      </c>
      <c r="C663" t="s">
        <v>41</v>
      </c>
      <c r="D663" t="s">
        <v>17</v>
      </c>
      <c r="E663" s="5">
        <v>45408</v>
      </c>
      <c r="F663">
        <v>9</v>
      </c>
      <c r="G663" t="s">
        <v>32</v>
      </c>
      <c r="H663" s="6"/>
    </row>
    <row r="664" spans="1:9" x14ac:dyDescent="0.3">
      <c r="A664" t="s">
        <v>1349</v>
      </c>
      <c r="B664" t="s">
        <v>1350</v>
      </c>
      <c r="C664" t="s">
        <v>78</v>
      </c>
      <c r="D664" t="s">
        <v>31</v>
      </c>
      <c r="E664" s="5">
        <v>45313</v>
      </c>
      <c r="F664">
        <v>19</v>
      </c>
      <c r="G664" t="s">
        <v>18</v>
      </c>
      <c r="H664" s="6">
        <v>45313</v>
      </c>
      <c r="I664">
        <v>3</v>
      </c>
    </row>
    <row r="665" spans="1:9" x14ac:dyDescent="0.3">
      <c r="A665" t="s">
        <v>1351</v>
      </c>
      <c r="B665" t="s">
        <v>1352</v>
      </c>
      <c r="C665" t="s">
        <v>35</v>
      </c>
      <c r="D665" t="s">
        <v>12</v>
      </c>
      <c r="E665" s="5">
        <v>45445</v>
      </c>
      <c r="F665">
        <v>12</v>
      </c>
      <c r="G665" t="s">
        <v>13</v>
      </c>
      <c r="H665" s="6"/>
    </row>
    <row r="666" spans="1:9" x14ac:dyDescent="0.3">
      <c r="A666" t="s">
        <v>1353</v>
      </c>
      <c r="B666" t="s">
        <v>1354</v>
      </c>
      <c r="C666" t="s">
        <v>28</v>
      </c>
      <c r="D666" t="s">
        <v>23</v>
      </c>
      <c r="E666" s="5">
        <v>45636</v>
      </c>
      <c r="F666">
        <v>44</v>
      </c>
      <c r="G666" t="s">
        <v>32</v>
      </c>
      <c r="H666" s="6"/>
    </row>
    <row r="667" spans="1:9" x14ac:dyDescent="0.3">
      <c r="A667" t="s">
        <v>1355</v>
      </c>
      <c r="B667" t="s">
        <v>1356</v>
      </c>
      <c r="C667" t="s">
        <v>41</v>
      </c>
      <c r="D667" t="s">
        <v>17</v>
      </c>
      <c r="E667" s="5">
        <v>45651</v>
      </c>
      <c r="F667">
        <v>1</v>
      </c>
      <c r="G667" t="s">
        <v>13</v>
      </c>
      <c r="H667" s="6"/>
    </row>
    <row r="668" spans="1:9" x14ac:dyDescent="0.3">
      <c r="A668" t="s">
        <v>1357</v>
      </c>
      <c r="B668" t="s">
        <v>1358</v>
      </c>
      <c r="C668" t="s">
        <v>16</v>
      </c>
      <c r="D668" t="s">
        <v>69</v>
      </c>
      <c r="E668" s="5">
        <v>45520</v>
      </c>
      <c r="F668">
        <v>25</v>
      </c>
      <c r="G668" t="s">
        <v>18</v>
      </c>
      <c r="H668" s="6">
        <v>45521</v>
      </c>
      <c r="I668">
        <v>2</v>
      </c>
    </row>
    <row r="669" spans="1:9" x14ac:dyDescent="0.3">
      <c r="A669" t="s">
        <v>1359</v>
      </c>
      <c r="B669" t="s">
        <v>1360</v>
      </c>
      <c r="C669" t="s">
        <v>38</v>
      </c>
      <c r="D669" t="s">
        <v>31</v>
      </c>
      <c r="E669" s="5">
        <v>45568</v>
      </c>
      <c r="F669">
        <v>64</v>
      </c>
      <c r="G669" t="s">
        <v>18</v>
      </c>
      <c r="H669" s="6">
        <v>45570</v>
      </c>
      <c r="I669">
        <v>1</v>
      </c>
    </row>
    <row r="670" spans="1:9" x14ac:dyDescent="0.3">
      <c r="A670" t="s">
        <v>1361</v>
      </c>
      <c r="B670" t="s">
        <v>1362</v>
      </c>
      <c r="C670" t="s">
        <v>38</v>
      </c>
      <c r="D670" t="s">
        <v>69</v>
      </c>
      <c r="E670" s="5">
        <v>45320</v>
      </c>
      <c r="F670">
        <v>35</v>
      </c>
      <c r="G670" t="s">
        <v>18</v>
      </c>
      <c r="H670" s="6">
        <v>45321</v>
      </c>
      <c r="I670">
        <v>2</v>
      </c>
    </row>
    <row r="671" spans="1:9" x14ac:dyDescent="0.3">
      <c r="A671" t="s">
        <v>1363</v>
      </c>
      <c r="B671" t="s">
        <v>1364</v>
      </c>
      <c r="C671" t="s">
        <v>78</v>
      </c>
      <c r="D671" t="s">
        <v>31</v>
      </c>
      <c r="E671" s="5">
        <v>45645</v>
      </c>
      <c r="F671">
        <v>7</v>
      </c>
      <c r="G671" t="s">
        <v>18</v>
      </c>
      <c r="H671" s="6">
        <v>45645</v>
      </c>
      <c r="I671">
        <v>4</v>
      </c>
    </row>
    <row r="672" spans="1:9" x14ac:dyDescent="0.3">
      <c r="A672" t="s">
        <v>1365</v>
      </c>
      <c r="B672" t="s">
        <v>1366</v>
      </c>
      <c r="C672" t="s">
        <v>28</v>
      </c>
      <c r="D672" t="s">
        <v>12</v>
      </c>
      <c r="E672" s="5">
        <v>45384</v>
      </c>
      <c r="F672">
        <v>47</v>
      </c>
      <c r="G672" t="s">
        <v>18</v>
      </c>
      <c r="H672" s="6">
        <v>45385</v>
      </c>
      <c r="I672">
        <v>2</v>
      </c>
    </row>
    <row r="673" spans="1:9" x14ac:dyDescent="0.3">
      <c r="A673" t="s">
        <v>1367</v>
      </c>
      <c r="B673" t="s">
        <v>1368</v>
      </c>
      <c r="C673" t="s">
        <v>52</v>
      </c>
      <c r="D673" t="s">
        <v>17</v>
      </c>
      <c r="E673" s="5">
        <v>45385</v>
      </c>
      <c r="F673">
        <v>14</v>
      </c>
      <c r="G673" t="s">
        <v>18</v>
      </c>
      <c r="H673" s="6">
        <v>45385</v>
      </c>
      <c r="I673">
        <v>3</v>
      </c>
    </row>
    <row r="674" spans="1:9" x14ac:dyDescent="0.3">
      <c r="A674" t="s">
        <v>1369</v>
      </c>
      <c r="B674" t="s">
        <v>1370</v>
      </c>
      <c r="C674" t="s">
        <v>16</v>
      </c>
      <c r="D674" t="s">
        <v>69</v>
      </c>
      <c r="E674" s="5">
        <v>45304</v>
      </c>
      <c r="F674">
        <v>19</v>
      </c>
      <c r="G674" t="s">
        <v>18</v>
      </c>
      <c r="H674" s="6">
        <v>45304</v>
      </c>
      <c r="I674">
        <v>3</v>
      </c>
    </row>
    <row r="675" spans="1:9" x14ac:dyDescent="0.3">
      <c r="A675" t="s">
        <v>1371</v>
      </c>
      <c r="B675" t="s">
        <v>1372</v>
      </c>
      <c r="C675" t="s">
        <v>78</v>
      </c>
      <c r="D675" t="s">
        <v>31</v>
      </c>
      <c r="E675" s="5">
        <v>45657</v>
      </c>
      <c r="F675">
        <v>22</v>
      </c>
      <c r="G675" t="s">
        <v>32</v>
      </c>
      <c r="H675" s="6"/>
    </row>
    <row r="676" spans="1:9" x14ac:dyDescent="0.3">
      <c r="A676" t="s">
        <v>1373</v>
      </c>
      <c r="B676" t="s">
        <v>1374</v>
      </c>
      <c r="C676" t="s">
        <v>38</v>
      </c>
      <c r="D676" t="s">
        <v>12</v>
      </c>
      <c r="E676" s="5">
        <v>45637</v>
      </c>
      <c r="F676">
        <v>69</v>
      </c>
      <c r="G676" t="s">
        <v>18</v>
      </c>
      <c r="H676" s="6">
        <v>45639</v>
      </c>
      <c r="I676">
        <v>1</v>
      </c>
    </row>
    <row r="677" spans="1:9" x14ac:dyDescent="0.3">
      <c r="A677" t="s">
        <v>1375</v>
      </c>
      <c r="B677" t="s">
        <v>1376</v>
      </c>
      <c r="C677" t="s">
        <v>41</v>
      </c>
      <c r="D677" t="s">
        <v>31</v>
      </c>
      <c r="E677" s="5">
        <v>45293</v>
      </c>
      <c r="F677">
        <v>6</v>
      </c>
      <c r="G677" t="s">
        <v>32</v>
      </c>
      <c r="H677" s="6"/>
    </row>
    <row r="678" spans="1:9" x14ac:dyDescent="0.3">
      <c r="A678" t="s">
        <v>1377</v>
      </c>
      <c r="B678" t="s">
        <v>1378</v>
      </c>
      <c r="C678" t="s">
        <v>28</v>
      </c>
      <c r="D678" t="s">
        <v>69</v>
      </c>
      <c r="E678" s="5">
        <v>45528</v>
      </c>
      <c r="F678">
        <v>47</v>
      </c>
      <c r="G678" t="s">
        <v>18</v>
      </c>
      <c r="H678" s="6">
        <v>45529</v>
      </c>
      <c r="I678">
        <v>2</v>
      </c>
    </row>
    <row r="679" spans="1:9" x14ac:dyDescent="0.3">
      <c r="A679" t="s">
        <v>1379</v>
      </c>
      <c r="B679" t="s">
        <v>1380</v>
      </c>
      <c r="C679" t="s">
        <v>38</v>
      </c>
      <c r="D679" t="s">
        <v>31</v>
      </c>
      <c r="E679" s="5">
        <v>45650</v>
      </c>
      <c r="F679">
        <v>42</v>
      </c>
      <c r="G679" t="s">
        <v>13</v>
      </c>
      <c r="H679" s="6"/>
    </row>
    <row r="680" spans="1:9" x14ac:dyDescent="0.3">
      <c r="A680" t="s">
        <v>1381</v>
      </c>
      <c r="B680" t="s">
        <v>1382</v>
      </c>
      <c r="C680" t="s">
        <v>41</v>
      </c>
      <c r="D680" t="s">
        <v>12</v>
      </c>
      <c r="E680" s="5">
        <v>45643</v>
      </c>
      <c r="F680">
        <v>8</v>
      </c>
      <c r="G680" t="s">
        <v>18</v>
      </c>
      <c r="H680" s="6">
        <v>45643</v>
      </c>
      <c r="I680">
        <v>5</v>
      </c>
    </row>
    <row r="681" spans="1:9" x14ac:dyDescent="0.3">
      <c r="A681" t="s">
        <v>1383</v>
      </c>
      <c r="B681" t="s">
        <v>1384</v>
      </c>
      <c r="C681" t="s">
        <v>16</v>
      </c>
      <c r="D681" t="s">
        <v>69</v>
      </c>
      <c r="E681" s="5">
        <v>45607</v>
      </c>
      <c r="F681">
        <v>15</v>
      </c>
      <c r="G681" t="s">
        <v>18</v>
      </c>
      <c r="H681" s="6">
        <v>45607</v>
      </c>
      <c r="I681">
        <v>3</v>
      </c>
    </row>
    <row r="682" spans="1:9" x14ac:dyDescent="0.3">
      <c r="A682" t="s">
        <v>1385</v>
      </c>
      <c r="B682" t="s">
        <v>1386</v>
      </c>
      <c r="C682" t="s">
        <v>35</v>
      </c>
      <c r="D682" t="s">
        <v>69</v>
      </c>
      <c r="E682" s="5">
        <v>45355</v>
      </c>
      <c r="F682">
        <v>61</v>
      </c>
      <c r="G682" t="s">
        <v>18</v>
      </c>
      <c r="H682" s="6">
        <v>45357</v>
      </c>
      <c r="I682">
        <v>1</v>
      </c>
    </row>
    <row r="683" spans="1:9" x14ac:dyDescent="0.3">
      <c r="A683" t="s">
        <v>1387</v>
      </c>
      <c r="B683" t="s">
        <v>1388</v>
      </c>
      <c r="C683" t="s">
        <v>41</v>
      </c>
      <c r="D683" t="s">
        <v>17</v>
      </c>
      <c r="E683" s="5">
        <v>45352</v>
      </c>
      <c r="F683">
        <v>10</v>
      </c>
      <c r="G683" t="s">
        <v>18</v>
      </c>
      <c r="H683" s="6">
        <v>45352</v>
      </c>
      <c r="I683">
        <v>4</v>
      </c>
    </row>
    <row r="684" spans="1:9" x14ac:dyDescent="0.3">
      <c r="A684" t="s">
        <v>1389</v>
      </c>
      <c r="B684" t="s">
        <v>1390</v>
      </c>
      <c r="C684" t="s">
        <v>16</v>
      </c>
      <c r="D684" t="s">
        <v>17</v>
      </c>
      <c r="E684" s="5">
        <v>45402</v>
      </c>
      <c r="F684">
        <v>8</v>
      </c>
      <c r="G684" t="s">
        <v>18</v>
      </c>
      <c r="H684" s="6">
        <v>45402</v>
      </c>
      <c r="I684">
        <v>5</v>
      </c>
    </row>
    <row r="685" spans="1:9" x14ac:dyDescent="0.3">
      <c r="A685" t="s">
        <v>1391</v>
      </c>
      <c r="B685" t="s">
        <v>1392</v>
      </c>
      <c r="C685" t="s">
        <v>78</v>
      </c>
      <c r="D685" t="s">
        <v>23</v>
      </c>
      <c r="E685" s="5">
        <v>45525</v>
      </c>
      <c r="F685">
        <v>19</v>
      </c>
      <c r="G685" t="s">
        <v>32</v>
      </c>
      <c r="H685" s="6"/>
    </row>
    <row r="686" spans="1:9" x14ac:dyDescent="0.3">
      <c r="A686" t="s">
        <v>1393</v>
      </c>
      <c r="B686" t="s">
        <v>1394</v>
      </c>
      <c r="C686" t="s">
        <v>16</v>
      </c>
      <c r="D686" t="s">
        <v>69</v>
      </c>
      <c r="E686" s="5">
        <v>45601</v>
      </c>
      <c r="F686">
        <v>21</v>
      </c>
      <c r="G686" t="s">
        <v>32</v>
      </c>
      <c r="H686" s="6"/>
    </row>
    <row r="687" spans="1:9" x14ac:dyDescent="0.3">
      <c r="A687" t="s">
        <v>1395</v>
      </c>
      <c r="B687" t="s">
        <v>1396</v>
      </c>
      <c r="C687" t="s">
        <v>41</v>
      </c>
      <c r="D687" t="s">
        <v>31</v>
      </c>
      <c r="E687" s="5">
        <v>45540</v>
      </c>
      <c r="F687">
        <v>10</v>
      </c>
      <c r="G687" t="s">
        <v>32</v>
      </c>
      <c r="H687" s="6"/>
    </row>
    <row r="688" spans="1:9" x14ac:dyDescent="0.3">
      <c r="A688" t="s">
        <v>1397</v>
      </c>
      <c r="B688" t="s">
        <v>1398</v>
      </c>
      <c r="C688" t="s">
        <v>41</v>
      </c>
      <c r="D688" t="s">
        <v>69</v>
      </c>
      <c r="E688" s="5">
        <v>45614</v>
      </c>
      <c r="F688">
        <v>4</v>
      </c>
      <c r="G688" t="s">
        <v>18</v>
      </c>
      <c r="H688" s="6">
        <v>45614</v>
      </c>
      <c r="I688">
        <v>5</v>
      </c>
    </row>
    <row r="689" spans="1:9" x14ac:dyDescent="0.3">
      <c r="A689" t="s">
        <v>1399</v>
      </c>
      <c r="B689" t="s">
        <v>1400</v>
      </c>
      <c r="C689" t="s">
        <v>78</v>
      </c>
      <c r="D689" t="s">
        <v>17</v>
      </c>
      <c r="E689" s="5">
        <v>45360</v>
      </c>
      <c r="F689">
        <v>21</v>
      </c>
      <c r="G689" t="s">
        <v>18</v>
      </c>
      <c r="H689" s="6">
        <v>45360</v>
      </c>
      <c r="I689">
        <v>3</v>
      </c>
    </row>
    <row r="690" spans="1:9" x14ac:dyDescent="0.3">
      <c r="A690" t="s">
        <v>1401</v>
      </c>
      <c r="B690" t="s">
        <v>1402</v>
      </c>
      <c r="C690" t="s">
        <v>52</v>
      </c>
      <c r="D690" t="s">
        <v>23</v>
      </c>
      <c r="E690" s="5">
        <v>45346</v>
      </c>
      <c r="F690">
        <v>14</v>
      </c>
      <c r="G690" t="s">
        <v>18</v>
      </c>
      <c r="H690" s="6">
        <v>45346</v>
      </c>
      <c r="I690">
        <v>5</v>
      </c>
    </row>
    <row r="691" spans="1:9" x14ac:dyDescent="0.3">
      <c r="A691" t="s">
        <v>1403</v>
      </c>
      <c r="B691" t="s">
        <v>1404</v>
      </c>
      <c r="C691" t="s">
        <v>38</v>
      </c>
      <c r="D691" t="s">
        <v>12</v>
      </c>
      <c r="E691" s="5">
        <v>45405</v>
      </c>
      <c r="F691">
        <v>60</v>
      </c>
      <c r="G691" t="s">
        <v>18</v>
      </c>
      <c r="H691" s="6">
        <v>45407</v>
      </c>
      <c r="I691">
        <v>1</v>
      </c>
    </row>
    <row r="692" spans="1:9" x14ac:dyDescent="0.3">
      <c r="A692" t="s">
        <v>1405</v>
      </c>
      <c r="B692" t="s">
        <v>1406</v>
      </c>
      <c r="C692" t="s">
        <v>35</v>
      </c>
      <c r="D692" t="s">
        <v>31</v>
      </c>
      <c r="E692" s="5">
        <v>45333</v>
      </c>
      <c r="F692">
        <v>26</v>
      </c>
      <c r="G692" t="s">
        <v>18</v>
      </c>
      <c r="H692" s="6">
        <v>45334</v>
      </c>
      <c r="I692">
        <v>2</v>
      </c>
    </row>
    <row r="693" spans="1:9" x14ac:dyDescent="0.3">
      <c r="A693" t="s">
        <v>1407</v>
      </c>
      <c r="B693" t="s">
        <v>1408</v>
      </c>
      <c r="C693" t="s">
        <v>28</v>
      </c>
      <c r="D693" t="s">
        <v>31</v>
      </c>
      <c r="E693" s="5">
        <v>45315</v>
      </c>
      <c r="F693">
        <v>95</v>
      </c>
      <c r="G693" t="s">
        <v>18</v>
      </c>
      <c r="H693" s="6">
        <v>45318</v>
      </c>
      <c r="I693">
        <v>1</v>
      </c>
    </row>
    <row r="694" spans="1:9" x14ac:dyDescent="0.3">
      <c r="A694" t="s">
        <v>1409</v>
      </c>
      <c r="B694" t="s">
        <v>1410</v>
      </c>
      <c r="C694" t="s">
        <v>28</v>
      </c>
      <c r="D694" t="s">
        <v>31</v>
      </c>
      <c r="E694" s="5">
        <v>45491</v>
      </c>
      <c r="F694">
        <v>30</v>
      </c>
      <c r="G694" t="s">
        <v>18</v>
      </c>
      <c r="H694" s="6">
        <v>45492</v>
      </c>
      <c r="I694">
        <v>5</v>
      </c>
    </row>
    <row r="695" spans="1:9" x14ac:dyDescent="0.3">
      <c r="A695" t="s">
        <v>1411</v>
      </c>
      <c r="B695" t="s">
        <v>1412</v>
      </c>
      <c r="C695" t="s">
        <v>38</v>
      </c>
      <c r="D695" t="s">
        <v>12</v>
      </c>
      <c r="E695" s="5">
        <v>45593</v>
      </c>
      <c r="F695">
        <v>10</v>
      </c>
      <c r="G695" t="s">
        <v>18</v>
      </c>
      <c r="H695" s="6">
        <v>45593</v>
      </c>
      <c r="I695">
        <v>4</v>
      </c>
    </row>
    <row r="696" spans="1:9" x14ac:dyDescent="0.3">
      <c r="A696" t="s">
        <v>1413</v>
      </c>
      <c r="B696" t="s">
        <v>1414</v>
      </c>
      <c r="C696" t="s">
        <v>16</v>
      </c>
      <c r="D696" t="s">
        <v>31</v>
      </c>
      <c r="E696" s="5">
        <v>45543</v>
      </c>
      <c r="F696">
        <v>13</v>
      </c>
      <c r="G696" t="s">
        <v>18</v>
      </c>
      <c r="H696" s="6">
        <v>45543</v>
      </c>
      <c r="I696">
        <v>3</v>
      </c>
    </row>
    <row r="697" spans="1:9" x14ac:dyDescent="0.3">
      <c r="A697" t="s">
        <v>1415</v>
      </c>
      <c r="B697" t="s">
        <v>1416</v>
      </c>
      <c r="C697" t="s">
        <v>52</v>
      </c>
      <c r="D697" t="s">
        <v>69</v>
      </c>
      <c r="E697" s="5">
        <v>45557</v>
      </c>
      <c r="F697">
        <v>12</v>
      </c>
      <c r="G697" t="s">
        <v>18</v>
      </c>
      <c r="H697" s="6">
        <v>45557</v>
      </c>
      <c r="I697">
        <v>4</v>
      </c>
    </row>
    <row r="698" spans="1:9" x14ac:dyDescent="0.3">
      <c r="A698" t="s">
        <v>1417</v>
      </c>
      <c r="B698" t="s">
        <v>1418</v>
      </c>
      <c r="C698" t="s">
        <v>78</v>
      </c>
      <c r="D698" t="s">
        <v>23</v>
      </c>
      <c r="E698" s="5">
        <v>45597</v>
      </c>
      <c r="F698">
        <v>9</v>
      </c>
      <c r="G698" t="s">
        <v>18</v>
      </c>
      <c r="H698" s="6">
        <v>45597</v>
      </c>
      <c r="I698">
        <v>4</v>
      </c>
    </row>
    <row r="699" spans="1:9" x14ac:dyDescent="0.3">
      <c r="A699" t="s">
        <v>1419</v>
      </c>
      <c r="B699" t="s">
        <v>1420</v>
      </c>
      <c r="C699" t="s">
        <v>52</v>
      </c>
      <c r="D699" t="s">
        <v>31</v>
      </c>
      <c r="E699" s="5">
        <v>45444</v>
      </c>
      <c r="F699">
        <v>13</v>
      </c>
      <c r="G699" t="s">
        <v>32</v>
      </c>
      <c r="H699" s="6"/>
    </row>
    <row r="700" spans="1:9" x14ac:dyDescent="0.3">
      <c r="A700" t="s">
        <v>1421</v>
      </c>
      <c r="B700" t="s">
        <v>1422</v>
      </c>
      <c r="C700" t="s">
        <v>41</v>
      </c>
      <c r="D700" t="s">
        <v>17</v>
      </c>
      <c r="E700" s="5">
        <v>45588</v>
      </c>
      <c r="F700">
        <v>7</v>
      </c>
      <c r="G700" t="s">
        <v>18</v>
      </c>
      <c r="H700" s="6">
        <v>45588</v>
      </c>
      <c r="I700">
        <v>4</v>
      </c>
    </row>
    <row r="701" spans="1:9" x14ac:dyDescent="0.3">
      <c r="A701" t="s">
        <v>1423</v>
      </c>
      <c r="B701" t="s">
        <v>1424</v>
      </c>
      <c r="C701" t="s">
        <v>38</v>
      </c>
      <c r="D701" t="s">
        <v>17</v>
      </c>
      <c r="E701" s="5">
        <v>45553</v>
      </c>
      <c r="F701">
        <v>11</v>
      </c>
      <c r="G701" t="s">
        <v>18</v>
      </c>
      <c r="H701" s="6">
        <v>45553</v>
      </c>
      <c r="I701">
        <v>5</v>
      </c>
    </row>
    <row r="702" spans="1:9" x14ac:dyDescent="0.3">
      <c r="A702" t="s">
        <v>1425</v>
      </c>
      <c r="B702" t="s">
        <v>1426</v>
      </c>
      <c r="C702" t="s">
        <v>78</v>
      </c>
      <c r="D702" t="s">
        <v>17</v>
      </c>
      <c r="E702" s="5">
        <v>45359</v>
      </c>
      <c r="F702">
        <v>12</v>
      </c>
      <c r="G702" t="s">
        <v>18</v>
      </c>
      <c r="H702" s="6">
        <v>45359</v>
      </c>
      <c r="I702">
        <v>5</v>
      </c>
    </row>
    <row r="703" spans="1:9" x14ac:dyDescent="0.3">
      <c r="A703" t="s">
        <v>1427</v>
      </c>
      <c r="B703" t="s">
        <v>1428</v>
      </c>
      <c r="C703" t="s">
        <v>41</v>
      </c>
      <c r="D703" t="s">
        <v>17</v>
      </c>
      <c r="E703" s="5">
        <v>45373</v>
      </c>
      <c r="F703">
        <v>1</v>
      </c>
      <c r="G703" t="s">
        <v>18</v>
      </c>
      <c r="H703" s="6">
        <v>45373</v>
      </c>
      <c r="I703">
        <v>5</v>
      </c>
    </row>
    <row r="704" spans="1:9" x14ac:dyDescent="0.3">
      <c r="A704" t="s">
        <v>1429</v>
      </c>
      <c r="B704" t="s">
        <v>1430</v>
      </c>
      <c r="C704" t="s">
        <v>41</v>
      </c>
      <c r="D704" t="s">
        <v>17</v>
      </c>
      <c r="E704" s="5">
        <v>45513</v>
      </c>
      <c r="F704">
        <v>5</v>
      </c>
      <c r="G704" t="s">
        <v>32</v>
      </c>
      <c r="H704" s="6"/>
    </row>
    <row r="705" spans="1:9" x14ac:dyDescent="0.3">
      <c r="A705" t="s">
        <v>1431</v>
      </c>
      <c r="B705" t="s">
        <v>1432</v>
      </c>
      <c r="C705" t="s">
        <v>11</v>
      </c>
      <c r="D705" t="s">
        <v>69</v>
      </c>
      <c r="E705" s="5">
        <v>45630</v>
      </c>
      <c r="F705">
        <v>44</v>
      </c>
      <c r="G705" t="s">
        <v>32</v>
      </c>
      <c r="H705" s="6"/>
    </row>
    <row r="706" spans="1:9" x14ac:dyDescent="0.3">
      <c r="A706" t="s">
        <v>1433</v>
      </c>
      <c r="B706" t="s">
        <v>1434</v>
      </c>
      <c r="C706" t="s">
        <v>38</v>
      </c>
      <c r="D706" t="s">
        <v>12</v>
      </c>
      <c r="E706" s="5">
        <v>45541</v>
      </c>
      <c r="F706">
        <v>33</v>
      </c>
      <c r="G706" t="s">
        <v>18</v>
      </c>
      <c r="H706" s="6">
        <v>45542</v>
      </c>
      <c r="I706">
        <v>2</v>
      </c>
    </row>
    <row r="707" spans="1:9" x14ac:dyDescent="0.3">
      <c r="A707" t="s">
        <v>1435</v>
      </c>
      <c r="B707" t="s">
        <v>1436</v>
      </c>
      <c r="C707" t="s">
        <v>41</v>
      </c>
      <c r="D707" t="s">
        <v>23</v>
      </c>
      <c r="E707" s="5">
        <v>45656</v>
      </c>
      <c r="F707">
        <v>6</v>
      </c>
      <c r="G707" t="s">
        <v>18</v>
      </c>
      <c r="H707" s="6">
        <v>45656</v>
      </c>
      <c r="I707">
        <v>5</v>
      </c>
    </row>
    <row r="708" spans="1:9" x14ac:dyDescent="0.3">
      <c r="A708" t="s">
        <v>1437</v>
      </c>
      <c r="B708" t="s">
        <v>1438</v>
      </c>
      <c r="C708" t="s">
        <v>38</v>
      </c>
      <c r="D708" t="s">
        <v>31</v>
      </c>
      <c r="E708" s="5">
        <v>45541</v>
      </c>
      <c r="F708">
        <v>48</v>
      </c>
      <c r="G708" t="s">
        <v>18</v>
      </c>
      <c r="H708" s="6">
        <v>45543</v>
      </c>
      <c r="I708">
        <v>2</v>
      </c>
    </row>
    <row r="709" spans="1:9" x14ac:dyDescent="0.3">
      <c r="A709" t="s">
        <v>1439</v>
      </c>
      <c r="B709" t="s">
        <v>1440</v>
      </c>
      <c r="C709" t="s">
        <v>28</v>
      </c>
      <c r="D709" t="s">
        <v>17</v>
      </c>
      <c r="E709" s="5">
        <v>45381</v>
      </c>
      <c r="F709">
        <v>66</v>
      </c>
      <c r="G709" t="s">
        <v>18</v>
      </c>
      <c r="H709" s="6">
        <v>45383</v>
      </c>
      <c r="I709">
        <v>1</v>
      </c>
    </row>
    <row r="710" spans="1:9" x14ac:dyDescent="0.3">
      <c r="A710" t="s">
        <v>1441</v>
      </c>
      <c r="B710" t="s">
        <v>1442</v>
      </c>
      <c r="C710" t="s">
        <v>41</v>
      </c>
      <c r="D710" t="s">
        <v>69</v>
      </c>
      <c r="E710" s="5">
        <v>45645</v>
      </c>
      <c r="F710">
        <v>5</v>
      </c>
      <c r="G710" t="s">
        <v>18</v>
      </c>
      <c r="H710" s="6">
        <v>45645</v>
      </c>
      <c r="I710">
        <v>5</v>
      </c>
    </row>
    <row r="711" spans="1:9" x14ac:dyDescent="0.3">
      <c r="A711" t="s">
        <v>1443</v>
      </c>
      <c r="B711" t="s">
        <v>1444</v>
      </c>
      <c r="C711" t="s">
        <v>28</v>
      </c>
      <c r="D711" t="s">
        <v>69</v>
      </c>
      <c r="E711" s="5">
        <v>45407</v>
      </c>
      <c r="F711">
        <v>69</v>
      </c>
      <c r="G711" t="s">
        <v>18</v>
      </c>
      <c r="H711" s="6">
        <v>45409</v>
      </c>
      <c r="I711">
        <v>1</v>
      </c>
    </row>
    <row r="712" spans="1:9" x14ac:dyDescent="0.3">
      <c r="A712" t="s">
        <v>1445</v>
      </c>
      <c r="B712" t="s">
        <v>1446</v>
      </c>
      <c r="C712" t="s">
        <v>16</v>
      </c>
      <c r="D712" t="s">
        <v>12</v>
      </c>
      <c r="E712" s="5">
        <v>45628</v>
      </c>
      <c r="F712">
        <v>4</v>
      </c>
      <c r="G712" t="s">
        <v>32</v>
      </c>
      <c r="H712" s="6"/>
    </row>
    <row r="713" spans="1:9" x14ac:dyDescent="0.3">
      <c r="A713" t="s">
        <v>1447</v>
      </c>
      <c r="B713" t="s">
        <v>1448</v>
      </c>
      <c r="C713" t="s">
        <v>38</v>
      </c>
      <c r="D713" t="s">
        <v>69</v>
      </c>
      <c r="E713" s="5">
        <v>45476</v>
      </c>
      <c r="F713">
        <v>7</v>
      </c>
      <c r="G713" t="s">
        <v>18</v>
      </c>
      <c r="H713" s="6">
        <v>45476</v>
      </c>
      <c r="I713">
        <v>4</v>
      </c>
    </row>
    <row r="714" spans="1:9" x14ac:dyDescent="0.3">
      <c r="A714" t="s">
        <v>1449</v>
      </c>
      <c r="B714" t="s">
        <v>1450</v>
      </c>
      <c r="C714" t="s">
        <v>35</v>
      </c>
      <c r="D714" t="s">
        <v>17</v>
      </c>
      <c r="E714" s="5">
        <v>45388</v>
      </c>
      <c r="F714">
        <v>53</v>
      </c>
      <c r="G714" t="s">
        <v>32</v>
      </c>
      <c r="H714" s="6"/>
    </row>
    <row r="715" spans="1:9" x14ac:dyDescent="0.3">
      <c r="A715" t="s">
        <v>1451</v>
      </c>
      <c r="B715" t="s">
        <v>1452</v>
      </c>
      <c r="C715" t="s">
        <v>41</v>
      </c>
      <c r="D715" t="s">
        <v>12</v>
      </c>
      <c r="E715" s="5">
        <v>45519</v>
      </c>
      <c r="F715">
        <v>3</v>
      </c>
      <c r="G715" t="s">
        <v>18</v>
      </c>
      <c r="H715" s="6">
        <v>45519</v>
      </c>
      <c r="I715">
        <v>5</v>
      </c>
    </row>
    <row r="716" spans="1:9" x14ac:dyDescent="0.3">
      <c r="A716" t="s">
        <v>1453</v>
      </c>
      <c r="B716" t="s">
        <v>1454</v>
      </c>
      <c r="C716" t="s">
        <v>38</v>
      </c>
      <c r="D716" t="s">
        <v>31</v>
      </c>
      <c r="E716" s="5">
        <v>45518</v>
      </c>
      <c r="F716">
        <v>32</v>
      </c>
      <c r="G716" t="s">
        <v>18</v>
      </c>
      <c r="H716" s="6">
        <v>45519</v>
      </c>
      <c r="I716">
        <v>2</v>
      </c>
    </row>
    <row r="717" spans="1:9" x14ac:dyDescent="0.3">
      <c r="A717" t="s">
        <v>1455</v>
      </c>
      <c r="B717" t="s">
        <v>1456</v>
      </c>
      <c r="C717" t="s">
        <v>16</v>
      </c>
      <c r="D717" t="s">
        <v>17</v>
      </c>
      <c r="E717" s="5">
        <v>45406</v>
      </c>
      <c r="F717">
        <v>4</v>
      </c>
      <c r="G717" t="s">
        <v>13</v>
      </c>
      <c r="H717" s="6"/>
    </row>
    <row r="718" spans="1:9" x14ac:dyDescent="0.3">
      <c r="A718" t="s">
        <v>1457</v>
      </c>
      <c r="B718" t="s">
        <v>1458</v>
      </c>
      <c r="C718" t="s">
        <v>28</v>
      </c>
      <c r="D718" t="s">
        <v>69</v>
      </c>
      <c r="E718" s="5">
        <v>45532</v>
      </c>
      <c r="F718">
        <v>64</v>
      </c>
      <c r="G718" t="s">
        <v>18</v>
      </c>
      <c r="H718" s="6">
        <v>45534</v>
      </c>
      <c r="I718">
        <v>1</v>
      </c>
    </row>
    <row r="719" spans="1:9" x14ac:dyDescent="0.3">
      <c r="A719" t="s">
        <v>1459</v>
      </c>
      <c r="B719" t="s">
        <v>1460</v>
      </c>
      <c r="C719" t="s">
        <v>38</v>
      </c>
      <c r="D719" t="s">
        <v>69</v>
      </c>
      <c r="E719" s="5">
        <v>45578</v>
      </c>
      <c r="F719">
        <v>34</v>
      </c>
      <c r="G719" t="s">
        <v>18</v>
      </c>
      <c r="H719" s="6">
        <v>45579</v>
      </c>
      <c r="I719">
        <v>5</v>
      </c>
    </row>
    <row r="720" spans="1:9" x14ac:dyDescent="0.3">
      <c r="A720" t="s">
        <v>1461</v>
      </c>
      <c r="B720" t="s">
        <v>1462</v>
      </c>
      <c r="C720" t="s">
        <v>78</v>
      </c>
      <c r="D720" t="s">
        <v>12</v>
      </c>
      <c r="E720" s="5">
        <v>45343</v>
      </c>
      <c r="F720">
        <v>4</v>
      </c>
      <c r="G720" t="s">
        <v>13</v>
      </c>
      <c r="H720" s="6"/>
    </row>
    <row r="721" spans="1:9" x14ac:dyDescent="0.3">
      <c r="A721" t="s">
        <v>1463</v>
      </c>
      <c r="B721" t="s">
        <v>1464</v>
      </c>
      <c r="C721" t="s">
        <v>52</v>
      </c>
      <c r="D721" t="s">
        <v>23</v>
      </c>
      <c r="E721" s="5">
        <v>45430</v>
      </c>
      <c r="F721">
        <v>9</v>
      </c>
      <c r="G721" t="s">
        <v>18</v>
      </c>
      <c r="H721" s="6">
        <v>45430</v>
      </c>
      <c r="I721">
        <v>4</v>
      </c>
    </row>
    <row r="722" spans="1:9" x14ac:dyDescent="0.3">
      <c r="A722" t="s">
        <v>1465</v>
      </c>
      <c r="B722" t="s">
        <v>1466</v>
      </c>
      <c r="C722" t="s">
        <v>52</v>
      </c>
      <c r="D722" t="s">
        <v>69</v>
      </c>
      <c r="E722" s="5">
        <v>45551</v>
      </c>
      <c r="F722">
        <v>19</v>
      </c>
      <c r="G722" t="s">
        <v>18</v>
      </c>
      <c r="H722" s="6">
        <v>45551</v>
      </c>
      <c r="I722">
        <v>3</v>
      </c>
    </row>
    <row r="723" spans="1:9" x14ac:dyDescent="0.3">
      <c r="A723" t="s">
        <v>1467</v>
      </c>
      <c r="B723" t="s">
        <v>1468</v>
      </c>
      <c r="C723" t="s">
        <v>11</v>
      </c>
      <c r="D723" t="s">
        <v>69</v>
      </c>
      <c r="E723" s="5">
        <v>45550</v>
      </c>
      <c r="F723">
        <v>36</v>
      </c>
      <c r="G723" t="s">
        <v>13</v>
      </c>
      <c r="H723" s="6"/>
    </row>
    <row r="724" spans="1:9" x14ac:dyDescent="0.3">
      <c r="A724" t="s">
        <v>1469</v>
      </c>
      <c r="B724" t="s">
        <v>1470</v>
      </c>
      <c r="C724" t="s">
        <v>28</v>
      </c>
      <c r="D724" t="s">
        <v>17</v>
      </c>
      <c r="E724" s="5">
        <v>45498</v>
      </c>
      <c r="F724">
        <v>29</v>
      </c>
      <c r="G724" t="s">
        <v>32</v>
      </c>
      <c r="H724" s="6"/>
    </row>
    <row r="725" spans="1:9" x14ac:dyDescent="0.3">
      <c r="A725" t="s">
        <v>1471</v>
      </c>
      <c r="B725" t="s">
        <v>1472</v>
      </c>
      <c r="C725" t="s">
        <v>28</v>
      </c>
      <c r="D725" t="s">
        <v>23</v>
      </c>
      <c r="E725" s="5">
        <v>45367</v>
      </c>
      <c r="F725">
        <v>37</v>
      </c>
      <c r="G725" t="s">
        <v>32</v>
      </c>
      <c r="H725" s="6"/>
    </row>
    <row r="726" spans="1:9" x14ac:dyDescent="0.3">
      <c r="A726" t="s">
        <v>1473</v>
      </c>
      <c r="B726" t="s">
        <v>1474</v>
      </c>
      <c r="C726" t="s">
        <v>28</v>
      </c>
      <c r="D726" t="s">
        <v>31</v>
      </c>
      <c r="E726" s="5">
        <v>45404</v>
      </c>
      <c r="F726">
        <v>58</v>
      </c>
      <c r="G726" t="s">
        <v>18</v>
      </c>
      <c r="H726" s="6">
        <v>45406</v>
      </c>
      <c r="I726">
        <v>1</v>
      </c>
    </row>
    <row r="727" spans="1:9" x14ac:dyDescent="0.3">
      <c r="A727" t="s">
        <v>1475</v>
      </c>
      <c r="B727" t="s">
        <v>1476</v>
      </c>
      <c r="C727" t="s">
        <v>41</v>
      </c>
      <c r="D727" t="s">
        <v>17</v>
      </c>
      <c r="E727" s="5">
        <v>45638</v>
      </c>
      <c r="F727">
        <v>11</v>
      </c>
      <c r="G727" t="s">
        <v>32</v>
      </c>
      <c r="H727" s="6"/>
    </row>
    <row r="728" spans="1:9" x14ac:dyDescent="0.3">
      <c r="A728" t="s">
        <v>1477</v>
      </c>
      <c r="B728" t="s">
        <v>1478</v>
      </c>
      <c r="C728" t="s">
        <v>38</v>
      </c>
      <c r="D728" t="s">
        <v>12</v>
      </c>
      <c r="E728" s="5">
        <v>45496</v>
      </c>
      <c r="F728">
        <v>70</v>
      </c>
      <c r="G728" t="s">
        <v>18</v>
      </c>
      <c r="H728" s="6">
        <v>45498</v>
      </c>
      <c r="I728">
        <v>1</v>
      </c>
    </row>
    <row r="729" spans="1:9" x14ac:dyDescent="0.3">
      <c r="A729" t="s">
        <v>1479</v>
      </c>
      <c r="B729" t="s">
        <v>1480</v>
      </c>
      <c r="C729" t="s">
        <v>28</v>
      </c>
      <c r="D729" t="s">
        <v>69</v>
      </c>
      <c r="E729" s="5">
        <v>45645</v>
      </c>
      <c r="F729">
        <v>32</v>
      </c>
      <c r="G729" t="s">
        <v>13</v>
      </c>
      <c r="H729" s="6"/>
    </row>
    <row r="730" spans="1:9" x14ac:dyDescent="0.3">
      <c r="A730" t="s">
        <v>1481</v>
      </c>
      <c r="B730" t="s">
        <v>1482</v>
      </c>
      <c r="C730" t="s">
        <v>52</v>
      </c>
      <c r="D730" t="s">
        <v>23</v>
      </c>
      <c r="E730" s="5">
        <v>45562</v>
      </c>
      <c r="F730">
        <v>7</v>
      </c>
      <c r="G730" t="s">
        <v>18</v>
      </c>
      <c r="H730" s="6">
        <v>45562</v>
      </c>
      <c r="I730">
        <v>4</v>
      </c>
    </row>
    <row r="731" spans="1:9" x14ac:dyDescent="0.3">
      <c r="A731" t="s">
        <v>1483</v>
      </c>
      <c r="B731" t="s">
        <v>1484</v>
      </c>
      <c r="C731" t="s">
        <v>78</v>
      </c>
      <c r="D731" t="s">
        <v>17</v>
      </c>
      <c r="E731" s="5">
        <v>45515</v>
      </c>
      <c r="F731">
        <v>13</v>
      </c>
      <c r="G731" t="s">
        <v>18</v>
      </c>
      <c r="H731" s="6">
        <v>45515</v>
      </c>
      <c r="I731">
        <v>3</v>
      </c>
    </row>
    <row r="732" spans="1:9" x14ac:dyDescent="0.3">
      <c r="A732" t="s">
        <v>1485</v>
      </c>
      <c r="B732" t="s">
        <v>1486</v>
      </c>
      <c r="C732" t="s">
        <v>28</v>
      </c>
      <c r="D732" t="s">
        <v>17</v>
      </c>
      <c r="E732" s="5">
        <v>45440</v>
      </c>
      <c r="F732">
        <v>34</v>
      </c>
      <c r="G732" t="s">
        <v>13</v>
      </c>
      <c r="H732" s="6"/>
    </row>
    <row r="733" spans="1:9" x14ac:dyDescent="0.3">
      <c r="A733" t="s">
        <v>1487</v>
      </c>
      <c r="B733" t="s">
        <v>1488</v>
      </c>
      <c r="C733" t="s">
        <v>41</v>
      </c>
      <c r="D733" t="s">
        <v>23</v>
      </c>
      <c r="E733" s="5">
        <v>45352</v>
      </c>
      <c r="F733">
        <v>2</v>
      </c>
      <c r="G733" t="s">
        <v>18</v>
      </c>
      <c r="H733" s="6">
        <v>45352</v>
      </c>
      <c r="I733">
        <v>5</v>
      </c>
    </row>
    <row r="734" spans="1:9" x14ac:dyDescent="0.3">
      <c r="A734" t="s">
        <v>1489</v>
      </c>
      <c r="B734" t="s">
        <v>1490</v>
      </c>
      <c r="C734" t="s">
        <v>35</v>
      </c>
      <c r="D734" t="s">
        <v>31</v>
      </c>
      <c r="E734" s="5">
        <v>45477</v>
      </c>
      <c r="F734">
        <v>29</v>
      </c>
      <c r="G734" t="s">
        <v>13</v>
      </c>
      <c r="H734" s="6"/>
    </row>
    <row r="735" spans="1:9" x14ac:dyDescent="0.3">
      <c r="A735" t="s">
        <v>1491</v>
      </c>
      <c r="B735" t="s">
        <v>1492</v>
      </c>
      <c r="C735" t="s">
        <v>16</v>
      </c>
      <c r="D735" t="s">
        <v>31</v>
      </c>
      <c r="E735" s="5">
        <v>45648</v>
      </c>
      <c r="F735">
        <v>33</v>
      </c>
      <c r="G735" t="s">
        <v>13</v>
      </c>
      <c r="H735" s="6"/>
    </row>
    <row r="736" spans="1:9" x14ac:dyDescent="0.3">
      <c r="A736" t="s">
        <v>1493</v>
      </c>
      <c r="B736" t="s">
        <v>1494</v>
      </c>
      <c r="C736" t="s">
        <v>11</v>
      </c>
      <c r="D736" t="s">
        <v>17</v>
      </c>
      <c r="E736" s="5">
        <v>45587</v>
      </c>
      <c r="F736">
        <v>15</v>
      </c>
      <c r="G736" t="s">
        <v>18</v>
      </c>
      <c r="H736" s="6">
        <v>45587</v>
      </c>
      <c r="I736">
        <v>3</v>
      </c>
    </row>
    <row r="737" spans="1:9" x14ac:dyDescent="0.3">
      <c r="A737" t="s">
        <v>1495</v>
      </c>
      <c r="B737" t="s">
        <v>1496</v>
      </c>
      <c r="C737" t="s">
        <v>35</v>
      </c>
      <c r="D737" t="s">
        <v>23</v>
      </c>
      <c r="E737" s="5">
        <v>45344</v>
      </c>
      <c r="F737">
        <v>64</v>
      </c>
      <c r="G737" t="s">
        <v>18</v>
      </c>
      <c r="H737" s="6">
        <v>45346</v>
      </c>
      <c r="I737">
        <v>1</v>
      </c>
    </row>
    <row r="738" spans="1:9" x14ac:dyDescent="0.3">
      <c r="A738" t="s">
        <v>1497</v>
      </c>
      <c r="B738" t="s">
        <v>1498</v>
      </c>
      <c r="C738" t="s">
        <v>11</v>
      </c>
      <c r="D738" t="s">
        <v>12</v>
      </c>
      <c r="E738" s="5">
        <v>45530</v>
      </c>
      <c r="F738">
        <v>27</v>
      </c>
      <c r="G738" t="s">
        <v>18</v>
      </c>
      <c r="H738" s="6">
        <v>45531</v>
      </c>
      <c r="I738">
        <v>2</v>
      </c>
    </row>
    <row r="739" spans="1:9" x14ac:dyDescent="0.3">
      <c r="A739" t="s">
        <v>1499</v>
      </c>
      <c r="B739" t="s">
        <v>1500</v>
      </c>
      <c r="C739" t="s">
        <v>28</v>
      </c>
      <c r="D739" t="s">
        <v>31</v>
      </c>
      <c r="E739" s="5">
        <v>45309</v>
      </c>
      <c r="F739">
        <v>26</v>
      </c>
      <c r="G739" t="s">
        <v>18</v>
      </c>
      <c r="H739" s="6">
        <v>45310</v>
      </c>
      <c r="I739">
        <v>2</v>
      </c>
    </row>
    <row r="740" spans="1:9" x14ac:dyDescent="0.3">
      <c r="A740" t="s">
        <v>1501</v>
      </c>
      <c r="B740" t="s">
        <v>1502</v>
      </c>
      <c r="C740" t="s">
        <v>38</v>
      </c>
      <c r="D740" t="s">
        <v>23</v>
      </c>
      <c r="E740" s="5">
        <v>45580</v>
      </c>
      <c r="F740">
        <v>33</v>
      </c>
      <c r="G740" t="s">
        <v>13</v>
      </c>
      <c r="H740" s="6"/>
    </row>
    <row r="741" spans="1:9" x14ac:dyDescent="0.3">
      <c r="A741" t="s">
        <v>1503</v>
      </c>
      <c r="B741" t="s">
        <v>1504</v>
      </c>
      <c r="C741" t="s">
        <v>38</v>
      </c>
      <c r="D741" t="s">
        <v>23</v>
      </c>
      <c r="E741" s="5">
        <v>45294</v>
      </c>
      <c r="F741">
        <v>58</v>
      </c>
      <c r="G741" t="s">
        <v>18</v>
      </c>
      <c r="H741" s="6">
        <v>45296</v>
      </c>
      <c r="I741">
        <v>1</v>
      </c>
    </row>
    <row r="742" spans="1:9" x14ac:dyDescent="0.3">
      <c r="A742" t="s">
        <v>1505</v>
      </c>
      <c r="B742" t="s">
        <v>1506</v>
      </c>
      <c r="C742" t="s">
        <v>16</v>
      </c>
      <c r="D742" t="s">
        <v>12</v>
      </c>
      <c r="E742" s="5">
        <v>45577</v>
      </c>
      <c r="F742">
        <v>22</v>
      </c>
      <c r="G742" t="s">
        <v>13</v>
      </c>
      <c r="H742" s="6"/>
    </row>
    <row r="743" spans="1:9" x14ac:dyDescent="0.3">
      <c r="A743" t="s">
        <v>1507</v>
      </c>
      <c r="B743" t="s">
        <v>1508</v>
      </c>
      <c r="C743" t="s">
        <v>78</v>
      </c>
      <c r="D743" t="s">
        <v>69</v>
      </c>
      <c r="E743" s="5">
        <v>45652</v>
      </c>
      <c r="F743">
        <v>2</v>
      </c>
      <c r="G743" t="s">
        <v>13</v>
      </c>
      <c r="H743" s="6"/>
    </row>
    <row r="744" spans="1:9" x14ac:dyDescent="0.3">
      <c r="A744" t="s">
        <v>1509</v>
      </c>
      <c r="B744" t="s">
        <v>1510</v>
      </c>
      <c r="C744" t="s">
        <v>11</v>
      </c>
      <c r="D744" t="s">
        <v>12</v>
      </c>
      <c r="E744" s="5">
        <v>45344</v>
      </c>
      <c r="F744">
        <v>5</v>
      </c>
      <c r="G744" t="s">
        <v>18</v>
      </c>
      <c r="H744" s="6">
        <v>45344</v>
      </c>
      <c r="I744">
        <v>5</v>
      </c>
    </row>
    <row r="745" spans="1:9" x14ac:dyDescent="0.3">
      <c r="A745" t="s">
        <v>1511</v>
      </c>
      <c r="B745" t="s">
        <v>1512</v>
      </c>
      <c r="C745" t="s">
        <v>78</v>
      </c>
      <c r="D745" t="s">
        <v>31</v>
      </c>
      <c r="E745" s="5">
        <v>45372</v>
      </c>
      <c r="F745">
        <v>15</v>
      </c>
      <c r="G745" t="s">
        <v>32</v>
      </c>
      <c r="H745" s="6"/>
    </row>
    <row r="746" spans="1:9" x14ac:dyDescent="0.3">
      <c r="A746" t="s">
        <v>1513</v>
      </c>
      <c r="B746" t="s">
        <v>1514</v>
      </c>
      <c r="C746" t="s">
        <v>41</v>
      </c>
      <c r="D746" t="s">
        <v>12</v>
      </c>
      <c r="E746" s="5">
        <v>45442</v>
      </c>
      <c r="F746">
        <v>11</v>
      </c>
      <c r="G746" t="s">
        <v>18</v>
      </c>
      <c r="H746" s="6">
        <v>45442</v>
      </c>
      <c r="I746">
        <v>4</v>
      </c>
    </row>
    <row r="747" spans="1:9" x14ac:dyDescent="0.3">
      <c r="A747" t="s">
        <v>1515</v>
      </c>
      <c r="B747" t="s">
        <v>1516</v>
      </c>
      <c r="C747" t="s">
        <v>38</v>
      </c>
      <c r="D747" t="s">
        <v>12</v>
      </c>
      <c r="E747" s="5">
        <v>45385</v>
      </c>
      <c r="F747">
        <v>42</v>
      </c>
      <c r="G747" t="s">
        <v>18</v>
      </c>
      <c r="H747" s="6">
        <v>45386</v>
      </c>
      <c r="I747">
        <v>2</v>
      </c>
    </row>
    <row r="748" spans="1:9" x14ac:dyDescent="0.3">
      <c r="A748" t="s">
        <v>1517</v>
      </c>
      <c r="B748" t="s">
        <v>1518</v>
      </c>
      <c r="C748" t="s">
        <v>28</v>
      </c>
      <c r="D748" t="s">
        <v>23</v>
      </c>
      <c r="E748" s="5">
        <v>45307</v>
      </c>
      <c r="F748">
        <v>30</v>
      </c>
      <c r="G748" t="s">
        <v>13</v>
      </c>
      <c r="H748" s="6"/>
    </row>
    <row r="749" spans="1:9" x14ac:dyDescent="0.3">
      <c r="A749" t="s">
        <v>1519</v>
      </c>
      <c r="B749" t="s">
        <v>1520</v>
      </c>
      <c r="C749" t="s">
        <v>16</v>
      </c>
      <c r="D749" t="s">
        <v>12</v>
      </c>
      <c r="E749" s="5">
        <v>45529</v>
      </c>
      <c r="F749">
        <v>22</v>
      </c>
      <c r="G749" t="s">
        <v>13</v>
      </c>
      <c r="H749" s="6"/>
    </row>
    <row r="750" spans="1:9" x14ac:dyDescent="0.3">
      <c r="A750" t="s">
        <v>1521</v>
      </c>
      <c r="B750" t="s">
        <v>1522</v>
      </c>
      <c r="C750" t="s">
        <v>38</v>
      </c>
      <c r="D750" t="s">
        <v>69</v>
      </c>
      <c r="E750" s="5">
        <v>45296</v>
      </c>
      <c r="F750">
        <v>16</v>
      </c>
      <c r="G750" t="s">
        <v>18</v>
      </c>
      <c r="H750" s="6">
        <v>45296</v>
      </c>
      <c r="I750">
        <v>5</v>
      </c>
    </row>
    <row r="751" spans="1:9" x14ac:dyDescent="0.3">
      <c r="A751" t="s">
        <v>1523</v>
      </c>
      <c r="B751" t="s">
        <v>1524</v>
      </c>
      <c r="C751" t="s">
        <v>28</v>
      </c>
      <c r="D751" t="s">
        <v>69</v>
      </c>
      <c r="E751" s="5">
        <v>45414</v>
      </c>
      <c r="F751">
        <v>26</v>
      </c>
      <c r="G751" t="s">
        <v>18</v>
      </c>
      <c r="H751" s="6">
        <v>45415</v>
      </c>
      <c r="I751">
        <v>2</v>
      </c>
    </row>
    <row r="752" spans="1:9" x14ac:dyDescent="0.3">
      <c r="A752" t="s">
        <v>1525</v>
      </c>
      <c r="B752" t="s">
        <v>1526</v>
      </c>
      <c r="C752" t="s">
        <v>52</v>
      </c>
      <c r="D752" t="s">
        <v>17</v>
      </c>
      <c r="E752" s="5">
        <v>45637</v>
      </c>
      <c r="F752">
        <v>12</v>
      </c>
      <c r="G752" t="s">
        <v>13</v>
      </c>
      <c r="H752" s="6"/>
    </row>
    <row r="753" spans="1:9" x14ac:dyDescent="0.3">
      <c r="A753" t="s">
        <v>1527</v>
      </c>
      <c r="B753" t="s">
        <v>1528</v>
      </c>
      <c r="C753" t="s">
        <v>28</v>
      </c>
      <c r="D753" t="s">
        <v>12</v>
      </c>
      <c r="E753" s="5">
        <v>45302</v>
      </c>
      <c r="F753">
        <v>85</v>
      </c>
      <c r="G753" t="s">
        <v>18</v>
      </c>
      <c r="H753" s="6">
        <v>45305</v>
      </c>
      <c r="I753">
        <v>5</v>
      </c>
    </row>
    <row r="754" spans="1:9" x14ac:dyDescent="0.3">
      <c r="A754" t="s">
        <v>1529</v>
      </c>
      <c r="B754" t="s">
        <v>1530</v>
      </c>
      <c r="C754" t="s">
        <v>11</v>
      </c>
      <c r="D754" t="s">
        <v>23</v>
      </c>
      <c r="E754" s="5">
        <v>45326</v>
      </c>
      <c r="F754">
        <v>23</v>
      </c>
      <c r="G754" t="s">
        <v>18</v>
      </c>
      <c r="H754" s="6">
        <v>45326</v>
      </c>
      <c r="I754">
        <v>3</v>
      </c>
    </row>
    <row r="755" spans="1:9" x14ac:dyDescent="0.3">
      <c r="A755" t="s">
        <v>1531</v>
      </c>
      <c r="B755" t="s">
        <v>1532</v>
      </c>
      <c r="C755" t="s">
        <v>16</v>
      </c>
      <c r="D755" t="s">
        <v>17</v>
      </c>
      <c r="E755" s="5">
        <v>45310</v>
      </c>
      <c r="F755">
        <v>35</v>
      </c>
      <c r="G755" t="s">
        <v>13</v>
      </c>
      <c r="H755" s="6"/>
    </row>
    <row r="756" spans="1:9" x14ac:dyDescent="0.3">
      <c r="A756" t="s">
        <v>1533</v>
      </c>
      <c r="B756" t="s">
        <v>1534</v>
      </c>
      <c r="C756" t="s">
        <v>11</v>
      </c>
      <c r="D756" t="s">
        <v>17</v>
      </c>
      <c r="E756" s="5">
        <v>45342</v>
      </c>
      <c r="F756">
        <v>39</v>
      </c>
      <c r="G756" t="s">
        <v>13</v>
      </c>
      <c r="H756" s="6"/>
    </row>
    <row r="757" spans="1:9" x14ac:dyDescent="0.3">
      <c r="A757" t="s">
        <v>1535</v>
      </c>
      <c r="B757" t="s">
        <v>1536</v>
      </c>
      <c r="C757" t="s">
        <v>11</v>
      </c>
      <c r="D757" t="s">
        <v>23</v>
      </c>
      <c r="E757" s="5">
        <v>45607</v>
      </c>
      <c r="F757">
        <v>9</v>
      </c>
      <c r="G757" t="s">
        <v>18</v>
      </c>
      <c r="H757" s="6">
        <v>45607</v>
      </c>
      <c r="I757">
        <v>4</v>
      </c>
    </row>
    <row r="758" spans="1:9" x14ac:dyDescent="0.3">
      <c r="A758" t="s">
        <v>1537</v>
      </c>
      <c r="B758" t="s">
        <v>1538</v>
      </c>
      <c r="C758" t="s">
        <v>16</v>
      </c>
      <c r="D758" t="s">
        <v>12</v>
      </c>
      <c r="E758" s="5">
        <v>45626</v>
      </c>
      <c r="F758">
        <v>16</v>
      </c>
      <c r="G758" t="s">
        <v>18</v>
      </c>
      <c r="H758" s="6">
        <v>45626</v>
      </c>
      <c r="I758">
        <v>3</v>
      </c>
    </row>
    <row r="759" spans="1:9" x14ac:dyDescent="0.3">
      <c r="A759" t="s">
        <v>1539</v>
      </c>
      <c r="B759" t="s">
        <v>1540</v>
      </c>
      <c r="C759" t="s">
        <v>28</v>
      </c>
      <c r="D759" t="s">
        <v>23</v>
      </c>
      <c r="E759" s="5">
        <v>45417</v>
      </c>
      <c r="F759">
        <v>48</v>
      </c>
      <c r="G759" t="s">
        <v>18</v>
      </c>
      <c r="H759" s="6">
        <v>45419</v>
      </c>
      <c r="I759">
        <v>5</v>
      </c>
    </row>
    <row r="760" spans="1:9" x14ac:dyDescent="0.3">
      <c r="A760" t="s">
        <v>1541</v>
      </c>
      <c r="B760" t="s">
        <v>1542</v>
      </c>
      <c r="C760" t="s">
        <v>28</v>
      </c>
      <c r="D760" t="s">
        <v>17</v>
      </c>
      <c r="E760" s="5">
        <v>45563</v>
      </c>
      <c r="F760">
        <v>69</v>
      </c>
      <c r="G760" t="s">
        <v>18</v>
      </c>
      <c r="H760" s="6">
        <v>45565</v>
      </c>
      <c r="I760">
        <v>1</v>
      </c>
    </row>
    <row r="761" spans="1:9" x14ac:dyDescent="0.3">
      <c r="A761" t="s">
        <v>1543</v>
      </c>
      <c r="B761" t="s">
        <v>1544</v>
      </c>
      <c r="C761" t="s">
        <v>35</v>
      </c>
      <c r="D761" t="s">
        <v>17</v>
      </c>
      <c r="E761" s="5">
        <v>45503</v>
      </c>
      <c r="F761">
        <v>55</v>
      </c>
      <c r="G761" t="s">
        <v>18</v>
      </c>
      <c r="H761" s="6">
        <v>45505</v>
      </c>
      <c r="I761">
        <v>1</v>
      </c>
    </row>
    <row r="762" spans="1:9" x14ac:dyDescent="0.3">
      <c r="A762" t="s">
        <v>1545</v>
      </c>
      <c r="B762" t="s">
        <v>1546</v>
      </c>
      <c r="C762" t="s">
        <v>38</v>
      </c>
      <c r="D762" t="s">
        <v>31</v>
      </c>
      <c r="E762" s="5">
        <v>45567</v>
      </c>
      <c r="F762">
        <v>10</v>
      </c>
      <c r="G762" t="s">
        <v>32</v>
      </c>
      <c r="H762" s="6"/>
    </row>
    <row r="763" spans="1:9" x14ac:dyDescent="0.3">
      <c r="A763" t="s">
        <v>1547</v>
      </c>
      <c r="B763" t="s">
        <v>1548</v>
      </c>
      <c r="C763" t="s">
        <v>78</v>
      </c>
      <c r="D763" t="s">
        <v>69</v>
      </c>
      <c r="E763" s="5">
        <v>45613</v>
      </c>
      <c r="F763">
        <v>20</v>
      </c>
      <c r="G763" t="s">
        <v>18</v>
      </c>
      <c r="H763" s="6">
        <v>45613</v>
      </c>
      <c r="I763">
        <v>3</v>
      </c>
    </row>
    <row r="764" spans="1:9" x14ac:dyDescent="0.3">
      <c r="A764" t="s">
        <v>1549</v>
      </c>
      <c r="B764" t="s">
        <v>1550</v>
      </c>
      <c r="C764" t="s">
        <v>28</v>
      </c>
      <c r="D764" t="s">
        <v>12</v>
      </c>
      <c r="E764" s="5">
        <v>45302</v>
      </c>
      <c r="F764">
        <v>93</v>
      </c>
      <c r="G764" t="s">
        <v>13</v>
      </c>
      <c r="H764" s="6"/>
    </row>
    <row r="765" spans="1:9" x14ac:dyDescent="0.3">
      <c r="A765" t="s">
        <v>1551</v>
      </c>
      <c r="B765" t="s">
        <v>1552</v>
      </c>
      <c r="C765" t="s">
        <v>16</v>
      </c>
      <c r="D765" t="s">
        <v>17</v>
      </c>
      <c r="E765" s="5">
        <v>45399</v>
      </c>
      <c r="F765">
        <v>32</v>
      </c>
      <c r="G765" t="s">
        <v>13</v>
      </c>
      <c r="H765" s="6"/>
    </row>
    <row r="766" spans="1:9" x14ac:dyDescent="0.3">
      <c r="A766" t="s">
        <v>1553</v>
      </c>
      <c r="B766" t="s">
        <v>1554</v>
      </c>
      <c r="C766" t="s">
        <v>35</v>
      </c>
      <c r="D766" t="s">
        <v>12</v>
      </c>
      <c r="E766" s="5">
        <v>45515</v>
      </c>
      <c r="F766">
        <v>56</v>
      </c>
      <c r="G766" t="s">
        <v>18</v>
      </c>
      <c r="H766" s="6">
        <v>45517</v>
      </c>
      <c r="I766">
        <v>1</v>
      </c>
    </row>
    <row r="767" spans="1:9" x14ac:dyDescent="0.3">
      <c r="A767" t="s">
        <v>1555</v>
      </c>
      <c r="B767" t="s">
        <v>1556</v>
      </c>
      <c r="C767" t="s">
        <v>35</v>
      </c>
      <c r="D767" t="s">
        <v>17</v>
      </c>
      <c r="E767" s="5">
        <v>45645</v>
      </c>
      <c r="F767">
        <v>28</v>
      </c>
      <c r="G767" t="s">
        <v>13</v>
      </c>
      <c r="H767" s="6"/>
    </row>
    <row r="768" spans="1:9" x14ac:dyDescent="0.3">
      <c r="A768" t="s">
        <v>1557</v>
      </c>
      <c r="B768" t="s">
        <v>1558</v>
      </c>
      <c r="C768" t="s">
        <v>35</v>
      </c>
      <c r="D768" t="s">
        <v>69</v>
      </c>
      <c r="E768" s="5">
        <v>45594</v>
      </c>
      <c r="F768">
        <v>38</v>
      </c>
      <c r="G768" t="s">
        <v>32</v>
      </c>
      <c r="H768" s="6"/>
    </row>
    <row r="769" spans="1:9" x14ac:dyDescent="0.3">
      <c r="A769" t="s">
        <v>1559</v>
      </c>
      <c r="B769" t="s">
        <v>1560</v>
      </c>
      <c r="C769" t="s">
        <v>78</v>
      </c>
      <c r="D769" t="s">
        <v>23</v>
      </c>
      <c r="E769" s="5">
        <v>45375</v>
      </c>
      <c r="F769">
        <v>18</v>
      </c>
      <c r="G769" t="s">
        <v>18</v>
      </c>
      <c r="H769" s="6">
        <v>45375</v>
      </c>
      <c r="I769">
        <v>3</v>
      </c>
    </row>
    <row r="770" spans="1:9" x14ac:dyDescent="0.3">
      <c r="A770" t="s">
        <v>1561</v>
      </c>
      <c r="B770" t="s">
        <v>1562</v>
      </c>
      <c r="C770" t="s">
        <v>11</v>
      </c>
      <c r="D770" t="s">
        <v>69</v>
      </c>
      <c r="E770" s="5">
        <v>45632</v>
      </c>
      <c r="F770">
        <v>15</v>
      </c>
      <c r="G770" t="s">
        <v>18</v>
      </c>
      <c r="H770" s="6">
        <v>45632</v>
      </c>
      <c r="I770">
        <v>3</v>
      </c>
    </row>
    <row r="771" spans="1:9" x14ac:dyDescent="0.3">
      <c r="A771" t="s">
        <v>1563</v>
      </c>
      <c r="B771" t="s">
        <v>1564</v>
      </c>
      <c r="C771" t="s">
        <v>38</v>
      </c>
      <c r="D771" t="s">
        <v>23</v>
      </c>
      <c r="E771" s="5">
        <v>45405</v>
      </c>
      <c r="F771">
        <v>14</v>
      </c>
      <c r="G771" t="s">
        <v>32</v>
      </c>
      <c r="H771" s="6"/>
    </row>
    <row r="772" spans="1:9" x14ac:dyDescent="0.3">
      <c r="A772" t="s">
        <v>1565</v>
      </c>
      <c r="B772" t="s">
        <v>1566</v>
      </c>
      <c r="C772" t="s">
        <v>52</v>
      </c>
      <c r="D772" t="s">
        <v>31</v>
      </c>
      <c r="E772" s="5">
        <v>45628</v>
      </c>
      <c r="F772">
        <v>17</v>
      </c>
      <c r="G772" t="s">
        <v>32</v>
      </c>
      <c r="H772" s="6"/>
    </row>
    <row r="773" spans="1:9" x14ac:dyDescent="0.3">
      <c r="A773" t="s">
        <v>1567</v>
      </c>
      <c r="B773" t="s">
        <v>1568</v>
      </c>
      <c r="C773" t="s">
        <v>16</v>
      </c>
      <c r="D773" t="s">
        <v>31</v>
      </c>
      <c r="E773" s="5">
        <v>45495</v>
      </c>
      <c r="F773">
        <v>24</v>
      </c>
      <c r="G773" t="s">
        <v>18</v>
      </c>
      <c r="H773" s="6">
        <v>45496</v>
      </c>
      <c r="I773">
        <v>3</v>
      </c>
    </row>
    <row r="774" spans="1:9" x14ac:dyDescent="0.3">
      <c r="A774" t="s">
        <v>1569</v>
      </c>
      <c r="B774" t="s">
        <v>1570</v>
      </c>
      <c r="C774" t="s">
        <v>35</v>
      </c>
      <c r="D774" t="s">
        <v>31</v>
      </c>
      <c r="E774" s="5">
        <v>45430</v>
      </c>
      <c r="F774">
        <v>33</v>
      </c>
      <c r="G774" t="s">
        <v>18</v>
      </c>
      <c r="H774" s="6">
        <v>45431</v>
      </c>
      <c r="I774">
        <v>2</v>
      </c>
    </row>
    <row r="775" spans="1:9" x14ac:dyDescent="0.3">
      <c r="A775" t="s">
        <v>1571</v>
      </c>
      <c r="B775" t="s">
        <v>1572</v>
      </c>
      <c r="C775" t="s">
        <v>35</v>
      </c>
      <c r="D775" t="s">
        <v>31</v>
      </c>
      <c r="E775" s="5">
        <v>45373</v>
      </c>
      <c r="F775">
        <v>63</v>
      </c>
      <c r="G775" t="s">
        <v>18</v>
      </c>
      <c r="H775" s="6">
        <v>45375</v>
      </c>
      <c r="I775">
        <v>1</v>
      </c>
    </row>
    <row r="776" spans="1:9" x14ac:dyDescent="0.3">
      <c r="A776" t="s">
        <v>1573</v>
      </c>
      <c r="B776" t="s">
        <v>1574</v>
      </c>
      <c r="C776" t="s">
        <v>78</v>
      </c>
      <c r="D776" t="s">
        <v>12</v>
      </c>
      <c r="E776" s="5">
        <v>45565</v>
      </c>
      <c r="F776">
        <v>8</v>
      </c>
      <c r="G776" t="s">
        <v>13</v>
      </c>
      <c r="H776" s="6"/>
    </row>
    <row r="777" spans="1:9" x14ac:dyDescent="0.3">
      <c r="A777" t="s">
        <v>1575</v>
      </c>
      <c r="B777" t="s">
        <v>1576</v>
      </c>
      <c r="C777" t="s">
        <v>16</v>
      </c>
      <c r="D777" t="s">
        <v>31</v>
      </c>
      <c r="E777" s="5">
        <v>45334</v>
      </c>
      <c r="F777">
        <v>8</v>
      </c>
      <c r="G777" t="s">
        <v>32</v>
      </c>
      <c r="H777" s="6"/>
    </row>
    <row r="778" spans="1:9" x14ac:dyDescent="0.3">
      <c r="A778" t="s">
        <v>1577</v>
      </c>
      <c r="B778" t="s">
        <v>1578</v>
      </c>
      <c r="C778" t="s">
        <v>38</v>
      </c>
      <c r="D778" t="s">
        <v>12</v>
      </c>
      <c r="E778" s="5">
        <v>45393</v>
      </c>
      <c r="F778">
        <v>38</v>
      </c>
      <c r="G778" t="s">
        <v>18</v>
      </c>
      <c r="H778" s="6">
        <v>45394</v>
      </c>
      <c r="I778">
        <v>2</v>
      </c>
    </row>
    <row r="779" spans="1:9" x14ac:dyDescent="0.3">
      <c r="A779" t="s">
        <v>1579</v>
      </c>
      <c r="B779" t="s">
        <v>1580</v>
      </c>
      <c r="C779" t="s">
        <v>41</v>
      </c>
      <c r="D779" t="s">
        <v>69</v>
      </c>
      <c r="E779" s="5">
        <v>45652</v>
      </c>
      <c r="F779">
        <v>8</v>
      </c>
      <c r="G779" t="s">
        <v>18</v>
      </c>
      <c r="H779" s="6">
        <v>45652</v>
      </c>
      <c r="I779">
        <v>4</v>
      </c>
    </row>
    <row r="780" spans="1:9" x14ac:dyDescent="0.3">
      <c r="A780" t="s">
        <v>1581</v>
      </c>
      <c r="B780" t="s">
        <v>1582</v>
      </c>
      <c r="C780" t="s">
        <v>28</v>
      </c>
      <c r="D780" t="s">
        <v>31</v>
      </c>
      <c r="E780" s="5">
        <v>45482</v>
      </c>
      <c r="F780">
        <v>34</v>
      </c>
      <c r="G780" t="s">
        <v>18</v>
      </c>
      <c r="H780" s="6">
        <v>45483</v>
      </c>
      <c r="I780">
        <v>5</v>
      </c>
    </row>
    <row r="781" spans="1:9" x14ac:dyDescent="0.3">
      <c r="A781" t="s">
        <v>1583</v>
      </c>
      <c r="B781" t="s">
        <v>1584</v>
      </c>
      <c r="C781" t="s">
        <v>16</v>
      </c>
      <c r="D781" t="s">
        <v>17</v>
      </c>
      <c r="E781" s="5">
        <v>45341</v>
      </c>
      <c r="F781">
        <v>22</v>
      </c>
      <c r="G781" t="s">
        <v>18</v>
      </c>
      <c r="H781" s="6">
        <v>45341</v>
      </c>
      <c r="I781">
        <v>3</v>
      </c>
    </row>
    <row r="782" spans="1:9" x14ac:dyDescent="0.3">
      <c r="A782" t="s">
        <v>1585</v>
      </c>
      <c r="B782" t="s">
        <v>1586</v>
      </c>
      <c r="C782" t="s">
        <v>41</v>
      </c>
      <c r="D782" t="s">
        <v>17</v>
      </c>
      <c r="E782" s="5">
        <v>45425</v>
      </c>
      <c r="F782">
        <v>7</v>
      </c>
      <c r="G782" t="s">
        <v>18</v>
      </c>
      <c r="H782" s="6">
        <v>45425</v>
      </c>
      <c r="I782">
        <v>4</v>
      </c>
    </row>
    <row r="783" spans="1:9" x14ac:dyDescent="0.3">
      <c r="A783" t="s">
        <v>1587</v>
      </c>
      <c r="B783" t="s">
        <v>1588</v>
      </c>
      <c r="C783" t="s">
        <v>41</v>
      </c>
      <c r="D783" t="s">
        <v>12</v>
      </c>
      <c r="E783" s="5">
        <v>45632</v>
      </c>
      <c r="F783">
        <v>8</v>
      </c>
      <c r="G783" t="s">
        <v>18</v>
      </c>
      <c r="H783" s="6">
        <v>45632</v>
      </c>
      <c r="I783">
        <v>4</v>
      </c>
    </row>
    <row r="784" spans="1:9" x14ac:dyDescent="0.3">
      <c r="A784" t="s">
        <v>1589</v>
      </c>
      <c r="B784" t="s">
        <v>1590</v>
      </c>
      <c r="C784" t="s">
        <v>35</v>
      </c>
      <c r="D784" t="s">
        <v>17</v>
      </c>
      <c r="E784" s="5">
        <v>45352</v>
      </c>
      <c r="F784">
        <v>40</v>
      </c>
      <c r="G784" t="s">
        <v>18</v>
      </c>
      <c r="H784" s="6">
        <v>45353</v>
      </c>
      <c r="I784">
        <v>2</v>
      </c>
    </row>
    <row r="785" spans="1:9" x14ac:dyDescent="0.3">
      <c r="A785" t="s">
        <v>1591</v>
      </c>
      <c r="B785" t="s">
        <v>1592</v>
      </c>
      <c r="C785" t="s">
        <v>78</v>
      </c>
      <c r="D785" t="s">
        <v>17</v>
      </c>
      <c r="E785" s="5">
        <v>45494</v>
      </c>
      <c r="F785">
        <v>2</v>
      </c>
      <c r="G785" t="s">
        <v>18</v>
      </c>
      <c r="H785" s="6">
        <v>45494</v>
      </c>
      <c r="I785">
        <v>5</v>
      </c>
    </row>
    <row r="786" spans="1:9" x14ac:dyDescent="0.3">
      <c r="A786" t="s">
        <v>1593</v>
      </c>
      <c r="B786" t="s">
        <v>1594</v>
      </c>
      <c r="C786" t="s">
        <v>28</v>
      </c>
      <c r="D786" t="s">
        <v>23</v>
      </c>
      <c r="E786" s="5">
        <v>45320</v>
      </c>
      <c r="F786">
        <v>84</v>
      </c>
      <c r="G786" t="s">
        <v>18</v>
      </c>
      <c r="H786" s="6">
        <v>45323</v>
      </c>
      <c r="I786">
        <v>1</v>
      </c>
    </row>
    <row r="787" spans="1:9" x14ac:dyDescent="0.3">
      <c r="A787" t="s">
        <v>1595</v>
      </c>
      <c r="B787" t="s">
        <v>1596</v>
      </c>
      <c r="C787" t="s">
        <v>78</v>
      </c>
      <c r="D787" t="s">
        <v>23</v>
      </c>
      <c r="E787" s="5">
        <v>45545</v>
      </c>
      <c r="F787">
        <v>12</v>
      </c>
      <c r="G787" t="s">
        <v>18</v>
      </c>
      <c r="H787" s="6">
        <v>45545</v>
      </c>
      <c r="I787">
        <v>5</v>
      </c>
    </row>
    <row r="788" spans="1:9" x14ac:dyDescent="0.3">
      <c r="A788" t="s">
        <v>1597</v>
      </c>
      <c r="B788" t="s">
        <v>1598</v>
      </c>
      <c r="C788" t="s">
        <v>16</v>
      </c>
      <c r="D788" t="s">
        <v>12</v>
      </c>
      <c r="E788" s="5">
        <v>45293</v>
      </c>
      <c r="F788">
        <v>19</v>
      </c>
      <c r="G788" t="s">
        <v>18</v>
      </c>
      <c r="H788" s="6">
        <v>45293</v>
      </c>
      <c r="I788">
        <v>5</v>
      </c>
    </row>
    <row r="789" spans="1:9" x14ac:dyDescent="0.3">
      <c r="A789" t="s">
        <v>1599</v>
      </c>
      <c r="B789" t="s">
        <v>1600</v>
      </c>
      <c r="C789" t="s">
        <v>35</v>
      </c>
      <c r="D789" t="s">
        <v>69</v>
      </c>
      <c r="E789" s="5">
        <v>45431</v>
      </c>
      <c r="F789">
        <v>72</v>
      </c>
      <c r="G789" t="s">
        <v>18</v>
      </c>
      <c r="H789" s="6">
        <v>45434</v>
      </c>
      <c r="I789">
        <v>5</v>
      </c>
    </row>
    <row r="790" spans="1:9" x14ac:dyDescent="0.3">
      <c r="A790" t="s">
        <v>1601</v>
      </c>
      <c r="B790" t="s">
        <v>1602</v>
      </c>
      <c r="C790" t="s">
        <v>11</v>
      </c>
      <c r="D790" t="s">
        <v>31</v>
      </c>
      <c r="E790" s="5">
        <v>45390</v>
      </c>
      <c r="F790">
        <v>48</v>
      </c>
      <c r="G790" t="s">
        <v>18</v>
      </c>
      <c r="H790" s="6">
        <v>45392</v>
      </c>
      <c r="I790">
        <v>2</v>
      </c>
    </row>
    <row r="791" spans="1:9" x14ac:dyDescent="0.3">
      <c r="A791" t="s">
        <v>1603</v>
      </c>
      <c r="B791" t="s">
        <v>1604</v>
      </c>
      <c r="C791" t="s">
        <v>16</v>
      </c>
      <c r="D791" t="s">
        <v>17</v>
      </c>
      <c r="E791" s="5">
        <v>45414</v>
      </c>
      <c r="F791">
        <v>10</v>
      </c>
      <c r="G791" t="s">
        <v>32</v>
      </c>
      <c r="H791" s="6"/>
    </row>
    <row r="792" spans="1:9" x14ac:dyDescent="0.3">
      <c r="A792" t="s">
        <v>1605</v>
      </c>
      <c r="B792" t="s">
        <v>1606</v>
      </c>
      <c r="C792" t="s">
        <v>41</v>
      </c>
      <c r="D792" t="s">
        <v>23</v>
      </c>
      <c r="E792" s="5">
        <v>45484</v>
      </c>
      <c r="F792">
        <v>9</v>
      </c>
      <c r="G792" t="s">
        <v>18</v>
      </c>
      <c r="H792" s="6">
        <v>45484</v>
      </c>
      <c r="I792">
        <v>4</v>
      </c>
    </row>
    <row r="793" spans="1:9" x14ac:dyDescent="0.3">
      <c r="A793" t="s">
        <v>1607</v>
      </c>
      <c r="B793" t="s">
        <v>1608</v>
      </c>
      <c r="C793" t="s">
        <v>16</v>
      </c>
      <c r="D793" t="s">
        <v>69</v>
      </c>
      <c r="E793" s="5">
        <v>45560</v>
      </c>
      <c r="F793">
        <v>10</v>
      </c>
      <c r="G793" t="s">
        <v>18</v>
      </c>
      <c r="H793" s="6">
        <v>45560</v>
      </c>
      <c r="I793">
        <v>4</v>
      </c>
    </row>
    <row r="794" spans="1:9" x14ac:dyDescent="0.3">
      <c r="A794" t="s">
        <v>1609</v>
      </c>
      <c r="B794" t="s">
        <v>1610</v>
      </c>
      <c r="C794" t="s">
        <v>35</v>
      </c>
      <c r="D794" t="s">
        <v>17</v>
      </c>
      <c r="E794" s="5">
        <v>45305</v>
      </c>
      <c r="F794">
        <v>9</v>
      </c>
      <c r="G794" t="s">
        <v>18</v>
      </c>
      <c r="H794" s="6">
        <v>45305</v>
      </c>
      <c r="I794">
        <v>4</v>
      </c>
    </row>
    <row r="795" spans="1:9" x14ac:dyDescent="0.3">
      <c r="A795" t="s">
        <v>1611</v>
      </c>
      <c r="B795" t="s">
        <v>1612</v>
      </c>
      <c r="C795" t="s">
        <v>28</v>
      </c>
      <c r="D795" t="s">
        <v>31</v>
      </c>
      <c r="E795" s="5">
        <v>45645</v>
      </c>
      <c r="F795">
        <v>76</v>
      </c>
      <c r="G795" t="s">
        <v>13</v>
      </c>
      <c r="H795" s="6"/>
    </row>
    <row r="796" spans="1:9" x14ac:dyDescent="0.3">
      <c r="A796" t="s">
        <v>1613</v>
      </c>
      <c r="B796" t="s">
        <v>1614</v>
      </c>
      <c r="C796" t="s">
        <v>16</v>
      </c>
      <c r="D796" t="s">
        <v>17</v>
      </c>
      <c r="E796" s="5">
        <v>45465</v>
      </c>
      <c r="F796">
        <v>32</v>
      </c>
      <c r="G796" t="s">
        <v>13</v>
      </c>
      <c r="H796" s="6"/>
    </row>
    <row r="797" spans="1:9" x14ac:dyDescent="0.3">
      <c r="A797" t="s">
        <v>1615</v>
      </c>
      <c r="B797" t="s">
        <v>1616</v>
      </c>
      <c r="C797" t="s">
        <v>52</v>
      </c>
      <c r="D797" t="s">
        <v>23</v>
      </c>
      <c r="E797" s="5">
        <v>45513</v>
      </c>
      <c r="F797">
        <v>15</v>
      </c>
      <c r="G797" t="s">
        <v>18</v>
      </c>
      <c r="H797" s="6">
        <v>45513</v>
      </c>
      <c r="I797">
        <v>3</v>
      </c>
    </row>
    <row r="798" spans="1:9" x14ac:dyDescent="0.3">
      <c r="A798" t="s">
        <v>1617</v>
      </c>
      <c r="B798" t="s">
        <v>1618</v>
      </c>
      <c r="C798" t="s">
        <v>16</v>
      </c>
      <c r="D798" t="s">
        <v>12</v>
      </c>
      <c r="E798" s="5">
        <v>45324</v>
      </c>
      <c r="F798">
        <v>11</v>
      </c>
      <c r="G798" t="s">
        <v>18</v>
      </c>
      <c r="H798" s="6">
        <v>45324</v>
      </c>
      <c r="I798">
        <v>5</v>
      </c>
    </row>
    <row r="799" spans="1:9" x14ac:dyDescent="0.3">
      <c r="A799" t="s">
        <v>1619</v>
      </c>
      <c r="B799" t="s">
        <v>1620</v>
      </c>
      <c r="C799" t="s">
        <v>78</v>
      </c>
      <c r="D799" t="s">
        <v>12</v>
      </c>
      <c r="E799" s="5">
        <v>45576</v>
      </c>
      <c r="F799">
        <v>8</v>
      </c>
      <c r="G799" t="s">
        <v>32</v>
      </c>
      <c r="H799" s="6"/>
    </row>
    <row r="800" spans="1:9" x14ac:dyDescent="0.3">
      <c r="A800" t="s">
        <v>1621</v>
      </c>
      <c r="B800" t="s">
        <v>1622</v>
      </c>
      <c r="C800" t="s">
        <v>38</v>
      </c>
      <c r="D800" t="s">
        <v>12</v>
      </c>
      <c r="E800" s="5">
        <v>45481</v>
      </c>
      <c r="F800">
        <v>43</v>
      </c>
      <c r="G800" t="s">
        <v>18</v>
      </c>
      <c r="H800" s="6">
        <v>45482</v>
      </c>
      <c r="I800">
        <v>2</v>
      </c>
    </row>
    <row r="801" spans="1:9" x14ac:dyDescent="0.3">
      <c r="A801" t="s">
        <v>1623</v>
      </c>
      <c r="B801" t="s">
        <v>1624</v>
      </c>
      <c r="C801" t="s">
        <v>35</v>
      </c>
      <c r="D801" t="s">
        <v>12</v>
      </c>
      <c r="E801" s="5">
        <v>45598</v>
      </c>
      <c r="F801">
        <v>44</v>
      </c>
      <c r="G801" t="s">
        <v>32</v>
      </c>
      <c r="H801" s="6"/>
    </row>
    <row r="802" spans="1:9" x14ac:dyDescent="0.3">
      <c r="A802" t="s">
        <v>1625</v>
      </c>
      <c r="B802" t="s">
        <v>1626</v>
      </c>
      <c r="C802" t="s">
        <v>28</v>
      </c>
      <c r="D802" t="s">
        <v>23</v>
      </c>
      <c r="E802" s="5">
        <v>45589</v>
      </c>
      <c r="F802">
        <v>84</v>
      </c>
      <c r="G802" t="s">
        <v>32</v>
      </c>
      <c r="H802" s="6"/>
    </row>
    <row r="803" spans="1:9" x14ac:dyDescent="0.3">
      <c r="A803" t="s">
        <v>1627</v>
      </c>
      <c r="B803" t="s">
        <v>1628</v>
      </c>
      <c r="C803" t="s">
        <v>38</v>
      </c>
      <c r="D803" t="s">
        <v>69</v>
      </c>
      <c r="E803" s="5">
        <v>45389</v>
      </c>
      <c r="F803">
        <v>39</v>
      </c>
      <c r="G803" t="s">
        <v>18</v>
      </c>
      <c r="H803" s="6">
        <v>45390</v>
      </c>
      <c r="I803">
        <v>2</v>
      </c>
    </row>
    <row r="804" spans="1:9" x14ac:dyDescent="0.3">
      <c r="A804" t="s">
        <v>1629</v>
      </c>
      <c r="B804" t="s">
        <v>1630</v>
      </c>
      <c r="C804" t="s">
        <v>78</v>
      </c>
      <c r="D804" t="s">
        <v>17</v>
      </c>
      <c r="E804" s="5">
        <v>45385</v>
      </c>
      <c r="F804">
        <v>24</v>
      </c>
      <c r="G804" t="s">
        <v>32</v>
      </c>
      <c r="H804" s="6"/>
    </row>
    <row r="805" spans="1:9" x14ac:dyDescent="0.3">
      <c r="A805" t="s">
        <v>1631</v>
      </c>
      <c r="B805" t="s">
        <v>1632</v>
      </c>
      <c r="C805" t="s">
        <v>38</v>
      </c>
      <c r="D805" t="s">
        <v>31</v>
      </c>
      <c r="E805" s="5">
        <v>45487</v>
      </c>
      <c r="F805">
        <v>18</v>
      </c>
      <c r="G805" t="s">
        <v>32</v>
      </c>
      <c r="H805" s="6"/>
    </row>
    <row r="806" spans="1:9" x14ac:dyDescent="0.3">
      <c r="A806" t="s">
        <v>1633</v>
      </c>
      <c r="B806" t="s">
        <v>1634</v>
      </c>
      <c r="C806" t="s">
        <v>11</v>
      </c>
      <c r="D806" t="s">
        <v>69</v>
      </c>
      <c r="E806" s="5">
        <v>45364</v>
      </c>
      <c r="F806">
        <v>43</v>
      </c>
      <c r="G806" t="s">
        <v>18</v>
      </c>
      <c r="H806" s="6">
        <v>45365</v>
      </c>
      <c r="I806">
        <v>2</v>
      </c>
    </row>
    <row r="807" spans="1:9" x14ac:dyDescent="0.3">
      <c r="A807" t="s">
        <v>1635</v>
      </c>
      <c r="B807" t="s">
        <v>1636</v>
      </c>
      <c r="C807" t="s">
        <v>41</v>
      </c>
      <c r="D807" t="s">
        <v>17</v>
      </c>
      <c r="E807" s="5">
        <v>45488</v>
      </c>
      <c r="F807">
        <v>12</v>
      </c>
      <c r="G807" t="s">
        <v>18</v>
      </c>
      <c r="H807" s="6">
        <v>45488</v>
      </c>
      <c r="I807">
        <v>4</v>
      </c>
    </row>
    <row r="808" spans="1:9" x14ac:dyDescent="0.3">
      <c r="A808" t="s">
        <v>1637</v>
      </c>
      <c r="B808" t="s">
        <v>1638</v>
      </c>
      <c r="C808" t="s">
        <v>78</v>
      </c>
      <c r="D808" t="s">
        <v>12</v>
      </c>
      <c r="E808" s="5">
        <v>45641</v>
      </c>
      <c r="F808">
        <v>24</v>
      </c>
      <c r="G808" t="s">
        <v>18</v>
      </c>
      <c r="H808" s="6">
        <v>45642</v>
      </c>
      <c r="I808">
        <v>3</v>
      </c>
    </row>
    <row r="809" spans="1:9" x14ac:dyDescent="0.3">
      <c r="A809" t="s">
        <v>1639</v>
      </c>
      <c r="B809" t="s">
        <v>1640</v>
      </c>
      <c r="C809" t="s">
        <v>38</v>
      </c>
      <c r="D809" t="s">
        <v>23</v>
      </c>
      <c r="E809" s="5">
        <v>45579</v>
      </c>
      <c r="F809">
        <v>40</v>
      </c>
      <c r="G809" t="s">
        <v>18</v>
      </c>
      <c r="H809" s="6">
        <v>45580</v>
      </c>
      <c r="I809">
        <v>2</v>
      </c>
    </row>
    <row r="810" spans="1:9" x14ac:dyDescent="0.3">
      <c r="A810" t="s">
        <v>1641</v>
      </c>
      <c r="B810" t="s">
        <v>1642</v>
      </c>
      <c r="C810" t="s">
        <v>28</v>
      </c>
      <c r="D810" t="s">
        <v>23</v>
      </c>
      <c r="E810" s="5">
        <v>45450</v>
      </c>
      <c r="F810">
        <v>44</v>
      </c>
      <c r="G810" t="s">
        <v>13</v>
      </c>
      <c r="H810" s="6"/>
    </row>
    <row r="811" spans="1:9" x14ac:dyDescent="0.3">
      <c r="A811" t="s">
        <v>1643</v>
      </c>
      <c r="B811" t="s">
        <v>1644</v>
      </c>
      <c r="C811" t="s">
        <v>28</v>
      </c>
      <c r="D811" t="s">
        <v>69</v>
      </c>
      <c r="E811" s="5">
        <v>45363</v>
      </c>
      <c r="F811">
        <v>70</v>
      </c>
      <c r="G811" t="s">
        <v>18</v>
      </c>
      <c r="H811" s="6">
        <v>45365</v>
      </c>
      <c r="I811">
        <v>5</v>
      </c>
    </row>
    <row r="812" spans="1:9" x14ac:dyDescent="0.3">
      <c r="A812" t="s">
        <v>1645</v>
      </c>
      <c r="B812" t="s">
        <v>1646</v>
      </c>
      <c r="C812" t="s">
        <v>41</v>
      </c>
      <c r="D812" t="s">
        <v>23</v>
      </c>
      <c r="E812" s="5">
        <v>45446</v>
      </c>
      <c r="F812">
        <v>10</v>
      </c>
      <c r="G812" t="s">
        <v>18</v>
      </c>
      <c r="H812" s="6">
        <v>45446</v>
      </c>
      <c r="I812">
        <v>4</v>
      </c>
    </row>
    <row r="813" spans="1:9" x14ac:dyDescent="0.3">
      <c r="A813" t="s">
        <v>1647</v>
      </c>
      <c r="B813" t="s">
        <v>1648</v>
      </c>
      <c r="C813" t="s">
        <v>78</v>
      </c>
      <c r="D813" t="s">
        <v>69</v>
      </c>
      <c r="E813" s="5">
        <v>45490</v>
      </c>
      <c r="F813">
        <v>13</v>
      </c>
      <c r="G813" t="s">
        <v>18</v>
      </c>
      <c r="H813" s="6">
        <v>45490</v>
      </c>
      <c r="I813">
        <v>3</v>
      </c>
    </row>
    <row r="814" spans="1:9" x14ac:dyDescent="0.3">
      <c r="A814" t="s">
        <v>1649</v>
      </c>
      <c r="B814" t="s">
        <v>1650</v>
      </c>
      <c r="C814" t="s">
        <v>38</v>
      </c>
      <c r="D814" t="s">
        <v>12</v>
      </c>
      <c r="E814" s="5">
        <v>45384</v>
      </c>
      <c r="F814">
        <v>49</v>
      </c>
      <c r="G814" t="s">
        <v>32</v>
      </c>
      <c r="H814" s="6"/>
    </row>
    <row r="815" spans="1:9" x14ac:dyDescent="0.3">
      <c r="A815" t="s">
        <v>1651</v>
      </c>
      <c r="B815" t="s">
        <v>1652</v>
      </c>
      <c r="C815" t="s">
        <v>11</v>
      </c>
      <c r="D815" t="s">
        <v>23</v>
      </c>
      <c r="E815" s="5">
        <v>45472</v>
      </c>
      <c r="F815">
        <v>9</v>
      </c>
      <c r="G815" t="s">
        <v>13</v>
      </c>
      <c r="H815" s="6"/>
    </row>
    <row r="816" spans="1:9" x14ac:dyDescent="0.3">
      <c r="A816" t="s">
        <v>1653</v>
      </c>
      <c r="B816" t="s">
        <v>1654</v>
      </c>
      <c r="C816" t="s">
        <v>28</v>
      </c>
      <c r="D816" t="s">
        <v>12</v>
      </c>
      <c r="E816" s="5">
        <v>45615</v>
      </c>
      <c r="F816">
        <v>80</v>
      </c>
      <c r="G816" t="s">
        <v>18</v>
      </c>
      <c r="H816" s="6">
        <v>45618</v>
      </c>
      <c r="I816">
        <v>1</v>
      </c>
    </row>
    <row r="817" spans="1:9" x14ac:dyDescent="0.3">
      <c r="A817" t="s">
        <v>1655</v>
      </c>
      <c r="B817" t="s">
        <v>1656</v>
      </c>
      <c r="C817" t="s">
        <v>11</v>
      </c>
      <c r="D817" t="s">
        <v>69</v>
      </c>
      <c r="E817" s="5">
        <v>45428</v>
      </c>
      <c r="F817">
        <v>16</v>
      </c>
      <c r="G817" t="s">
        <v>13</v>
      </c>
      <c r="H817" s="6"/>
    </row>
    <row r="818" spans="1:9" x14ac:dyDescent="0.3">
      <c r="A818" t="s">
        <v>1657</v>
      </c>
      <c r="B818" t="s">
        <v>1658</v>
      </c>
      <c r="C818" t="s">
        <v>35</v>
      </c>
      <c r="D818" t="s">
        <v>17</v>
      </c>
      <c r="E818" s="5">
        <v>45578</v>
      </c>
      <c r="F818">
        <v>28</v>
      </c>
      <c r="G818" t="s">
        <v>18</v>
      </c>
      <c r="H818" s="6">
        <v>45579</v>
      </c>
      <c r="I818">
        <v>2</v>
      </c>
    </row>
    <row r="819" spans="1:9" x14ac:dyDescent="0.3">
      <c r="A819" t="s">
        <v>1659</v>
      </c>
      <c r="B819" t="s">
        <v>1660</v>
      </c>
      <c r="C819" t="s">
        <v>16</v>
      </c>
      <c r="D819" t="s">
        <v>69</v>
      </c>
      <c r="E819" s="5">
        <v>45296</v>
      </c>
      <c r="F819">
        <v>19</v>
      </c>
      <c r="G819" t="s">
        <v>18</v>
      </c>
      <c r="H819" s="6">
        <v>45296</v>
      </c>
      <c r="I819">
        <v>5</v>
      </c>
    </row>
    <row r="820" spans="1:9" x14ac:dyDescent="0.3">
      <c r="A820" t="s">
        <v>1661</v>
      </c>
      <c r="B820" t="s">
        <v>1662</v>
      </c>
      <c r="C820" t="s">
        <v>11</v>
      </c>
      <c r="D820" t="s">
        <v>31</v>
      </c>
      <c r="E820" s="5">
        <v>45403</v>
      </c>
      <c r="F820">
        <v>8</v>
      </c>
      <c r="G820" t="s">
        <v>18</v>
      </c>
      <c r="H820" s="6">
        <v>45403</v>
      </c>
      <c r="I820">
        <v>4</v>
      </c>
    </row>
    <row r="821" spans="1:9" x14ac:dyDescent="0.3">
      <c r="A821" t="s">
        <v>1663</v>
      </c>
      <c r="B821" t="s">
        <v>1664</v>
      </c>
      <c r="C821" t="s">
        <v>11</v>
      </c>
      <c r="D821" t="s">
        <v>23</v>
      </c>
      <c r="E821" s="5">
        <v>45577</v>
      </c>
      <c r="F821">
        <v>12</v>
      </c>
      <c r="G821" t="s">
        <v>18</v>
      </c>
      <c r="H821" s="6">
        <v>45577</v>
      </c>
      <c r="I821">
        <v>4</v>
      </c>
    </row>
    <row r="822" spans="1:9" x14ac:dyDescent="0.3">
      <c r="A822" t="s">
        <v>1665</v>
      </c>
      <c r="B822" t="s">
        <v>1666</v>
      </c>
      <c r="C822" t="s">
        <v>78</v>
      </c>
      <c r="D822" t="s">
        <v>31</v>
      </c>
      <c r="E822" s="5">
        <v>45510</v>
      </c>
      <c r="F822">
        <v>9</v>
      </c>
      <c r="G822" t="s">
        <v>18</v>
      </c>
      <c r="H822" s="6">
        <v>45510</v>
      </c>
      <c r="I822">
        <v>4</v>
      </c>
    </row>
    <row r="823" spans="1:9" x14ac:dyDescent="0.3">
      <c r="A823" t="s">
        <v>1667</v>
      </c>
      <c r="B823" t="s">
        <v>1668</v>
      </c>
      <c r="C823" t="s">
        <v>11</v>
      </c>
      <c r="D823" t="s">
        <v>17</v>
      </c>
      <c r="E823" s="5">
        <v>45317</v>
      </c>
      <c r="F823">
        <v>15</v>
      </c>
      <c r="G823" t="s">
        <v>18</v>
      </c>
      <c r="H823" s="6">
        <v>45317</v>
      </c>
      <c r="I823">
        <v>3</v>
      </c>
    </row>
    <row r="824" spans="1:9" x14ac:dyDescent="0.3">
      <c r="A824" t="s">
        <v>1669</v>
      </c>
      <c r="B824" t="s">
        <v>1670</v>
      </c>
      <c r="C824" t="s">
        <v>16</v>
      </c>
      <c r="D824" t="s">
        <v>31</v>
      </c>
      <c r="E824" s="5">
        <v>45602</v>
      </c>
      <c r="F824">
        <v>30</v>
      </c>
      <c r="G824" t="s">
        <v>18</v>
      </c>
      <c r="H824" s="6">
        <v>45603</v>
      </c>
      <c r="I824">
        <v>2</v>
      </c>
    </row>
    <row r="825" spans="1:9" x14ac:dyDescent="0.3">
      <c r="A825" t="s">
        <v>1671</v>
      </c>
      <c r="B825" t="s">
        <v>1672</v>
      </c>
      <c r="C825" t="s">
        <v>38</v>
      </c>
      <c r="D825" t="s">
        <v>69</v>
      </c>
      <c r="E825" s="5">
        <v>45625</v>
      </c>
      <c r="F825">
        <v>56</v>
      </c>
      <c r="G825" t="s">
        <v>32</v>
      </c>
      <c r="H825" s="6"/>
    </row>
    <row r="826" spans="1:9" x14ac:dyDescent="0.3">
      <c r="A826" t="s">
        <v>1673</v>
      </c>
      <c r="B826" t="s">
        <v>1674</v>
      </c>
      <c r="C826" t="s">
        <v>41</v>
      </c>
      <c r="D826" t="s">
        <v>12</v>
      </c>
      <c r="E826" s="5">
        <v>45345</v>
      </c>
      <c r="F826">
        <v>7</v>
      </c>
      <c r="G826" t="s">
        <v>18</v>
      </c>
      <c r="H826" s="6">
        <v>45345</v>
      </c>
      <c r="I826">
        <v>4</v>
      </c>
    </row>
    <row r="827" spans="1:9" x14ac:dyDescent="0.3">
      <c r="A827" t="s">
        <v>1675</v>
      </c>
      <c r="B827" t="s">
        <v>1676</v>
      </c>
      <c r="C827" t="s">
        <v>38</v>
      </c>
      <c r="D827" t="s">
        <v>69</v>
      </c>
      <c r="E827" s="5">
        <v>45318</v>
      </c>
      <c r="F827">
        <v>10</v>
      </c>
      <c r="G827" t="s">
        <v>18</v>
      </c>
      <c r="H827" s="6">
        <v>45318</v>
      </c>
      <c r="I827">
        <v>4</v>
      </c>
    </row>
    <row r="828" spans="1:9" x14ac:dyDescent="0.3">
      <c r="A828" t="s">
        <v>1677</v>
      </c>
      <c r="B828" t="s">
        <v>1678</v>
      </c>
      <c r="C828" t="s">
        <v>35</v>
      </c>
      <c r="D828" t="s">
        <v>31</v>
      </c>
      <c r="E828" s="5">
        <v>45581</v>
      </c>
      <c r="F828">
        <v>68</v>
      </c>
      <c r="G828" t="s">
        <v>18</v>
      </c>
      <c r="H828" s="6">
        <v>45583</v>
      </c>
      <c r="I828">
        <v>5</v>
      </c>
    </row>
    <row r="829" spans="1:9" x14ac:dyDescent="0.3">
      <c r="A829" t="s">
        <v>1679</v>
      </c>
      <c r="B829" t="s">
        <v>1680</v>
      </c>
      <c r="C829" t="s">
        <v>78</v>
      </c>
      <c r="D829" t="s">
        <v>31</v>
      </c>
      <c r="E829" s="5">
        <v>45441</v>
      </c>
      <c r="F829">
        <v>23</v>
      </c>
      <c r="G829" t="s">
        <v>18</v>
      </c>
      <c r="H829" s="6">
        <v>45441</v>
      </c>
      <c r="I829">
        <v>5</v>
      </c>
    </row>
    <row r="830" spans="1:9" x14ac:dyDescent="0.3">
      <c r="A830" t="s">
        <v>1681</v>
      </c>
      <c r="B830" t="s">
        <v>1682</v>
      </c>
      <c r="C830" t="s">
        <v>35</v>
      </c>
      <c r="D830" t="s">
        <v>12</v>
      </c>
      <c r="E830" s="5">
        <v>45521</v>
      </c>
      <c r="F830">
        <v>40</v>
      </c>
      <c r="G830" t="s">
        <v>13</v>
      </c>
      <c r="H830" s="6"/>
    </row>
    <row r="831" spans="1:9" x14ac:dyDescent="0.3">
      <c r="A831" t="s">
        <v>1683</v>
      </c>
      <c r="B831" t="s">
        <v>1684</v>
      </c>
      <c r="C831" t="s">
        <v>78</v>
      </c>
      <c r="D831" t="s">
        <v>23</v>
      </c>
      <c r="E831" s="5">
        <v>45355</v>
      </c>
      <c r="F831">
        <v>9</v>
      </c>
      <c r="G831" t="s">
        <v>18</v>
      </c>
      <c r="H831" s="6">
        <v>45355</v>
      </c>
      <c r="I831">
        <v>4</v>
      </c>
    </row>
    <row r="832" spans="1:9" x14ac:dyDescent="0.3">
      <c r="A832" t="s">
        <v>1685</v>
      </c>
      <c r="B832" t="s">
        <v>1686</v>
      </c>
      <c r="C832" t="s">
        <v>38</v>
      </c>
      <c r="D832" t="s">
        <v>31</v>
      </c>
      <c r="E832" s="5">
        <v>45341</v>
      </c>
      <c r="F832">
        <v>15</v>
      </c>
      <c r="G832" t="s">
        <v>18</v>
      </c>
      <c r="H832" s="6">
        <v>45341</v>
      </c>
      <c r="I832">
        <v>3</v>
      </c>
    </row>
    <row r="833" spans="1:9" x14ac:dyDescent="0.3">
      <c r="A833" t="s">
        <v>1687</v>
      </c>
      <c r="B833" t="s">
        <v>1688</v>
      </c>
      <c r="C833" t="s">
        <v>28</v>
      </c>
      <c r="D833" t="s">
        <v>17</v>
      </c>
      <c r="E833" s="5">
        <v>45539</v>
      </c>
      <c r="F833">
        <v>65</v>
      </c>
      <c r="G833" t="s">
        <v>18</v>
      </c>
      <c r="H833" s="6">
        <v>45541</v>
      </c>
      <c r="I833">
        <v>1</v>
      </c>
    </row>
    <row r="834" spans="1:9" x14ac:dyDescent="0.3">
      <c r="A834" t="s">
        <v>1689</v>
      </c>
      <c r="B834" t="s">
        <v>1690</v>
      </c>
      <c r="C834" t="s">
        <v>52</v>
      </c>
      <c r="D834" t="s">
        <v>31</v>
      </c>
      <c r="E834" s="5">
        <v>45642</v>
      </c>
      <c r="F834">
        <v>6</v>
      </c>
      <c r="G834" t="s">
        <v>18</v>
      </c>
      <c r="H834" s="6">
        <v>45642</v>
      </c>
      <c r="I834">
        <v>5</v>
      </c>
    </row>
    <row r="835" spans="1:9" x14ac:dyDescent="0.3">
      <c r="A835" t="s">
        <v>1691</v>
      </c>
      <c r="B835" t="s">
        <v>1692</v>
      </c>
      <c r="C835" t="s">
        <v>38</v>
      </c>
      <c r="D835" t="s">
        <v>31</v>
      </c>
      <c r="E835" s="5">
        <v>45421</v>
      </c>
      <c r="F835">
        <v>51</v>
      </c>
      <c r="G835" t="s">
        <v>18</v>
      </c>
      <c r="H835" s="6">
        <v>45423</v>
      </c>
      <c r="I835">
        <v>1</v>
      </c>
    </row>
    <row r="836" spans="1:9" x14ac:dyDescent="0.3">
      <c r="A836" t="s">
        <v>1693</v>
      </c>
      <c r="B836" t="s">
        <v>1694</v>
      </c>
      <c r="C836" t="s">
        <v>78</v>
      </c>
      <c r="D836" t="s">
        <v>12</v>
      </c>
      <c r="E836" s="5">
        <v>45493</v>
      </c>
      <c r="F836">
        <v>2</v>
      </c>
      <c r="G836" t="s">
        <v>18</v>
      </c>
      <c r="H836" s="6">
        <v>45493</v>
      </c>
      <c r="I836">
        <v>5</v>
      </c>
    </row>
    <row r="837" spans="1:9" x14ac:dyDescent="0.3">
      <c r="A837" t="s">
        <v>1695</v>
      </c>
      <c r="B837" t="s">
        <v>1696</v>
      </c>
      <c r="C837" t="s">
        <v>28</v>
      </c>
      <c r="D837" t="s">
        <v>31</v>
      </c>
      <c r="E837" s="5">
        <v>45582</v>
      </c>
      <c r="F837">
        <v>94</v>
      </c>
      <c r="G837" t="s">
        <v>13</v>
      </c>
      <c r="H837" s="6"/>
    </row>
    <row r="838" spans="1:9" x14ac:dyDescent="0.3">
      <c r="A838" t="s">
        <v>1697</v>
      </c>
      <c r="B838" t="s">
        <v>1698</v>
      </c>
      <c r="C838" t="s">
        <v>78</v>
      </c>
      <c r="D838" t="s">
        <v>17</v>
      </c>
      <c r="E838" s="5">
        <v>45333</v>
      </c>
      <c r="F838">
        <v>13</v>
      </c>
      <c r="G838" t="s">
        <v>18</v>
      </c>
      <c r="H838" s="6">
        <v>45333</v>
      </c>
      <c r="I838">
        <v>3</v>
      </c>
    </row>
    <row r="839" spans="1:9" x14ac:dyDescent="0.3">
      <c r="A839" t="s">
        <v>1699</v>
      </c>
      <c r="B839" t="s">
        <v>1700</v>
      </c>
      <c r="C839" t="s">
        <v>28</v>
      </c>
      <c r="D839" t="s">
        <v>69</v>
      </c>
      <c r="E839" s="5">
        <v>45393</v>
      </c>
      <c r="F839">
        <v>60</v>
      </c>
      <c r="G839" t="s">
        <v>13</v>
      </c>
      <c r="H839" s="6"/>
    </row>
    <row r="840" spans="1:9" x14ac:dyDescent="0.3">
      <c r="A840" t="s">
        <v>1701</v>
      </c>
      <c r="B840" t="s">
        <v>1702</v>
      </c>
      <c r="C840" t="s">
        <v>38</v>
      </c>
      <c r="D840" t="s">
        <v>12</v>
      </c>
      <c r="E840" s="5">
        <v>45630</v>
      </c>
      <c r="F840">
        <v>49</v>
      </c>
      <c r="G840" t="s">
        <v>18</v>
      </c>
      <c r="H840" s="6">
        <v>45632</v>
      </c>
      <c r="I840">
        <v>1</v>
      </c>
    </row>
    <row r="841" spans="1:9" x14ac:dyDescent="0.3">
      <c r="A841" t="s">
        <v>1703</v>
      </c>
      <c r="B841" t="s">
        <v>1704</v>
      </c>
      <c r="C841" t="s">
        <v>41</v>
      </c>
      <c r="D841" t="s">
        <v>23</v>
      </c>
      <c r="E841" s="5">
        <v>45657</v>
      </c>
      <c r="F841">
        <v>10</v>
      </c>
      <c r="G841" t="s">
        <v>32</v>
      </c>
      <c r="H841" s="6"/>
    </row>
    <row r="842" spans="1:9" x14ac:dyDescent="0.3">
      <c r="A842" t="s">
        <v>1705</v>
      </c>
      <c r="B842" t="s">
        <v>1706</v>
      </c>
      <c r="C842" t="s">
        <v>28</v>
      </c>
      <c r="D842" t="s">
        <v>12</v>
      </c>
      <c r="E842" s="5">
        <v>45509</v>
      </c>
      <c r="F842">
        <v>26</v>
      </c>
      <c r="G842" t="s">
        <v>18</v>
      </c>
      <c r="H842" s="6">
        <v>45510</v>
      </c>
      <c r="I842">
        <v>2</v>
      </c>
    </row>
    <row r="843" spans="1:9" x14ac:dyDescent="0.3">
      <c r="A843" t="s">
        <v>1707</v>
      </c>
      <c r="B843" t="s">
        <v>1708</v>
      </c>
      <c r="C843" t="s">
        <v>41</v>
      </c>
      <c r="D843" t="s">
        <v>12</v>
      </c>
      <c r="E843" s="5">
        <v>45649</v>
      </c>
      <c r="F843">
        <v>3</v>
      </c>
      <c r="G843" t="s">
        <v>13</v>
      </c>
      <c r="H843" s="6"/>
    </row>
    <row r="844" spans="1:9" x14ac:dyDescent="0.3">
      <c r="A844" t="s">
        <v>1709</v>
      </c>
      <c r="B844" t="s">
        <v>1710</v>
      </c>
      <c r="C844" t="s">
        <v>78</v>
      </c>
      <c r="D844" t="s">
        <v>12</v>
      </c>
      <c r="E844" s="5">
        <v>45472</v>
      </c>
      <c r="F844">
        <v>18</v>
      </c>
      <c r="G844" t="s">
        <v>32</v>
      </c>
      <c r="H844" s="6"/>
    </row>
    <row r="845" spans="1:9" x14ac:dyDescent="0.3">
      <c r="A845" t="s">
        <v>1711</v>
      </c>
      <c r="B845" t="s">
        <v>1712</v>
      </c>
      <c r="C845" t="s">
        <v>35</v>
      </c>
      <c r="D845" t="s">
        <v>23</v>
      </c>
      <c r="E845" s="5">
        <v>45311</v>
      </c>
      <c r="F845">
        <v>54</v>
      </c>
      <c r="G845" t="s">
        <v>32</v>
      </c>
      <c r="H845" s="6"/>
    </row>
    <row r="846" spans="1:9" x14ac:dyDescent="0.3">
      <c r="A846" t="s">
        <v>1713</v>
      </c>
      <c r="B846" t="s">
        <v>1714</v>
      </c>
      <c r="C846" t="s">
        <v>16</v>
      </c>
      <c r="D846" t="s">
        <v>23</v>
      </c>
      <c r="E846" s="5">
        <v>45487</v>
      </c>
      <c r="F846">
        <v>6</v>
      </c>
      <c r="G846" t="s">
        <v>18</v>
      </c>
      <c r="H846" s="6">
        <v>45487</v>
      </c>
      <c r="I846">
        <v>5</v>
      </c>
    </row>
    <row r="847" spans="1:9" x14ac:dyDescent="0.3">
      <c r="A847" t="s">
        <v>1715</v>
      </c>
      <c r="B847" t="s">
        <v>1716</v>
      </c>
      <c r="C847" t="s">
        <v>41</v>
      </c>
      <c r="D847" t="s">
        <v>23</v>
      </c>
      <c r="E847" s="5">
        <v>45342</v>
      </c>
      <c r="F847">
        <v>10</v>
      </c>
      <c r="G847" t="s">
        <v>18</v>
      </c>
      <c r="H847" s="6">
        <v>45342</v>
      </c>
      <c r="I847">
        <v>4</v>
      </c>
    </row>
    <row r="848" spans="1:9" x14ac:dyDescent="0.3">
      <c r="A848" t="s">
        <v>1717</v>
      </c>
      <c r="B848" t="s">
        <v>1718</v>
      </c>
      <c r="C848" t="s">
        <v>35</v>
      </c>
      <c r="D848" t="s">
        <v>17</v>
      </c>
      <c r="E848" s="5">
        <v>45396</v>
      </c>
      <c r="F848">
        <v>28</v>
      </c>
      <c r="G848" t="s">
        <v>32</v>
      </c>
      <c r="H848" s="6"/>
    </row>
    <row r="849" spans="1:9" x14ac:dyDescent="0.3">
      <c r="A849" t="s">
        <v>1719</v>
      </c>
      <c r="B849" t="s">
        <v>1720</v>
      </c>
      <c r="C849" t="s">
        <v>11</v>
      </c>
      <c r="D849" t="s">
        <v>17</v>
      </c>
      <c r="E849" s="5">
        <v>45410</v>
      </c>
      <c r="F849">
        <v>11</v>
      </c>
      <c r="G849" t="s">
        <v>18</v>
      </c>
      <c r="H849" s="6">
        <v>45410</v>
      </c>
      <c r="I849">
        <v>5</v>
      </c>
    </row>
    <row r="850" spans="1:9" x14ac:dyDescent="0.3">
      <c r="A850" t="s">
        <v>1721</v>
      </c>
      <c r="B850" t="s">
        <v>1722</v>
      </c>
      <c r="C850" t="s">
        <v>78</v>
      </c>
      <c r="D850" t="s">
        <v>31</v>
      </c>
      <c r="E850" s="5">
        <v>45295</v>
      </c>
      <c r="F850">
        <v>4</v>
      </c>
      <c r="G850" t="s">
        <v>18</v>
      </c>
      <c r="H850" s="6">
        <v>45295</v>
      </c>
      <c r="I850">
        <v>5</v>
      </c>
    </row>
    <row r="851" spans="1:9" x14ac:dyDescent="0.3">
      <c r="A851" t="s">
        <v>1723</v>
      </c>
      <c r="B851" t="s">
        <v>1724</v>
      </c>
      <c r="C851" t="s">
        <v>78</v>
      </c>
      <c r="D851" t="s">
        <v>17</v>
      </c>
      <c r="E851" s="5">
        <v>45353</v>
      </c>
      <c r="F851">
        <v>11</v>
      </c>
      <c r="G851" t="s">
        <v>18</v>
      </c>
      <c r="H851" s="6">
        <v>45353</v>
      </c>
      <c r="I851">
        <v>4</v>
      </c>
    </row>
    <row r="852" spans="1:9" x14ac:dyDescent="0.3">
      <c r="A852" t="s">
        <v>1725</v>
      </c>
      <c r="B852" t="s">
        <v>1726</v>
      </c>
      <c r="C852" t="s">
        <v>16</v>
      </c>
      <c r="D852" t="s">
        <v>23</v>
      </c>
      <c r="E852" s="5">
        <v>45373</v>
      </c>
      <c r="F852">
        <v>10</v>
      </c>
      <c r="G852" t="s">
        <v>18</v>
      </c>
      <c r="H852" s="6">
        <v>45373</v>
      </c>
      <c r="I852">
        <v>4</v>
      </c>
    </row>
    <row r="853" spans="1:9" x14ac:dyDescent="0.3">
      <c r="A853" t="s">
        <v>1727</v>
      </c>
      <c r="B853" t="s">
        <v>1728</v>
      </c>
      <c r="C853" t="s">
        <v>41</v>
      </c>
      <c r="D853" t="s">
        <v>31</v>
      </c>
      <c r="E853" s="5">
        <v>45363</v>
      </c>
      <c r="F853">
        <v>2</v>
      </c>
      <c r="G853" t="s">
        <v>18</v>
      </c>
      <c r="H853" s="6">
        <v>45363</v>
      </c>
      <c r="I853">
        <v>5</v>
      </c>
    </row>
    <row r="854" spans="1:9" x14ac:dyDescent="0.3">
      <c r="A854" t="s">
        <v>1729</v>
      </c>
      <c r="B854" t="s">
        <v>1730</v>
      </c>
      <c r="C854" t="s">
        <v>78</v>
      </c>
      <c r="D854" t="s">
        <v>69</v>
      </c>
      <c r="E854" s="5">
        <v>45316</v>
      </c>
      <c r="F854">
        <v>10</v>
      </c>
      <c r="G854" t="s">
        <v>18</v>
      </c>
      <c r="H854" s="6">
        <v>45316</v>
      </c>
      <c r="I854">
        <v>4</v>
      </c>
    </row>
    <row r="855" spans="1:9" x14ac:dyDescent="0.3">
      <c r="A855" t="s">
        <v>1731</v>
      </c>
      <c r="B855" t="s">
        <v>1732</v>
      </c>
      <c r="C855" t="s">
        <v>52</v>
      </c>
      <c r="D855" t="s">
        <v>31</v>
      </c>
      <c r="E855" s="5">
        <v>45359</v>
      </c>
      <c r="F855">
        <v>12</v>
      </c>
      <c r="G855" t="s">
        <v>13</v>
      </c>
      <c r="H855" s="6"/>
    </row>
    <row r="856" spans="1:9" x14ac:dyDescent="0.3">
      <c r="A856" t="s">
        <v>1733</v>
      </c>
      <c r="B856" t="s">
        <v>1734</v>
      </c>
      <c r="C856" t="s">
        <v>28</v>
      </c>
      <c r="D856" t="s">
        <v>12</v>
      </c>
      <c r="E856" s="5">
        <v>45612</v>
      </c>
      <c r="F856">
        <v>34</v>
      </c>
      <c r="G856" t="s">
        <v>18</v>
      </c>
      <c r="H856" s="6">
        <v>45613</v>
      </c>
      <c r="I856">
        <v>2</v>
      </c>
    </row>
    <row r="857" spans="1:9" x14ac:dyDescent="0.3">
      <c r="A857" t="s">
        <v>1735</v>
      </c>
      <c r="B857" t="s">
        <v>1736</v>
      </c>
      <c r="C857" t="s">
        <v>52</v>
      </c>
      <c r="D857" t="s">
        <v>23</v>
      </c>
      <c r="E857" s="5">
        <v>45358</v>
      </c>
      <c r="F857">
        <v>9</v>
      </c>
      <c r="G857" t="s">
        <v>32</v>
      </c>
      <c r="H857" s="6"/>
    </row>
    <row r="858" spans="1:9" x14ac:dyDescent="0.3">
      <c r="A858" t="s">
        <v>1737</v>
      </c>
      <c r="B858" t="s">
        <v>1738</v>
      </c>
      <c r="C858" t="s">
        <v>28</v>
      </c>
      <c r="D858" t="s">
        <v>69</v>
      </c>
      <c r="E858" s="5">
        <v>45330</v>
      </c>
      <c r="F858">
        <v>68</v>
      </c>
      <c r="G858" t="s">
        <v>18</v>
      </c>
      <c r="H858" s="6">
        <v>45332</v>
      </c>
      <c r="I858">
        <v>1</v>
      </c>
    </row>
    <row r="859" spans="1:9" x14ac:dyDescent="0.3">
      <c r="A859" t="s">
        <v>1739</v>
      </c>
      <c r="B859" t="s">
        <v>1740</v>
      </c>
      <c r="C859" t="s">
        <v>35</v>
      </c>
      <c r="D859" t="s">
        <v>23</v>
      </c>
      <c r="E859" s="5">
        <v>45457</v>
      </c>
      <c r="F859">
        <v>58</v>
      </c>
      <c r="G859" t="s">
        <v>13</v>
      </c>
      <c r="H859" s="6"/>
    </row>
    <row r="860" spans="1:9" x14ac:dyDescent="0.3">
      <c r="A860" t="s">
        <v>1741</v>
      </c>
      <c r="B860" t="s">
        <v>1742</v>
      </c>
      <c r="C860" t="s">
        <v>11</v>
      </c>
      <c r="D860" t="s">
        <v>17</v>
      </c>
      <c r="E860" s="5">
        <v>45650</v>
      </c>
      <c r="F860">
        <v>44</v>
      </c>
      <c r="G860" t="s">
        <v>18</v>
      </c>
      <c r="H860" s="6">
        <v>45651</v>
      </c>
      <c r="I860">
        <v>2</v>
      </c>
    </row>
    <row r="861" spans="1:9" x14ac:dyDescent="0.3">
      <c r="A861" t="s">
        <v>1743</v>
      </c>
      <c r="B861" t="s">
        <v>1744</v>
      </c>
      <c r="C861" t="s">
        <v>16</v>
      </c>
      <c r="D861" t="s">
        <v>69</v>
      </c>
      <c r="E861" s="5">
        <v>45455</v>
      </c>
      <c r="F861">
        <v>20</v>
      </c>
      <c r="G861" t="s">
        <v>32</v>
      </c>
      <c r="H861" s="6"/>
    </row>
    <row r="862" spans="1:9" x14ac:dyDescent="0.3">
      <c r="A862" t="s">
        <v>1745</v>
      </c>
      <c r="B862" t="s">
        <v>1746</v>
      </c>
      <c r="C862" t="s">
        <v>41</v>
      </c>
      <c r="D862" t="s">
        <v>23</v>
      </c>
      <c r="E862" s="5">
        <v>45426</v>
      </c>
      <c r="F862">
        <v>4</v>
      </c>
      <c r="G862" t="s">
        <v>18</v>
      </c>
      <c r="H862" s="6">
        <v>45426</v>
      </c>
      <c r="I862">
        <v>5</v>
      </c>
    </row>
    <row r="863" spans="1:9" x14ac:dyDescent="0.3">
      <c r="A863" t="s">
        <v>1747</v>
      </c>
      <c r="B863" t="s">
        <v>1748</v>
      </c>
      <c r="C863" t="s">
        <v>78</v>
      </c>
      <c r="D863" t="s">
        <v>69</v>
      </c>
      <c r="E863" s="5">
        <v>45437</v>
      </c>
      <c r="F863">
        <v>4</v>
      </c>
      <c r="G863" t="s">
        <v>13</v>
      </c>
      <c r="H863" s="6"/>
    </row>
    <row r="864" spans="1:9" x14ac:dyDescent="0.3">
      <c r="A864" t="s">
        <v>1749</v>
      </c>
      <c r="B864" t="s">
        <v>1750</v>
      </c>
      <c r="C864" t="s">
        <v>28</v>
      </c>
      <c r="D864" t="s">
        <v>17</v>
      </c>
      <c r="E864" s="5">
        <v>45573</v>
      </c>
      <c r="F864">
        <v>93</v>
      </c>
      <c r="G864" t="s">
        <v>18</v>
      </c>
      <c r="H864" s="6">
        <v>45576</v>
      </c>
      <c r="I864">
        <v>1</v>
      </c>
    </row>
    <row r="865" spans="1:9" x14ac:dyDescent="0.3">
      <c r="A865" t="s">
        <v>1751</v>
      </c>
      <c r="B865" t="s">
        <v>1752</v>
      </c>
      <c r="C865" t="s">
        <v>35</v>
      </c>
      <c r="D865" t="s">
        <v>23</v>
      </c>
      <c r="E865" s="5">
        <v>45575</v>
      </c>
      <c r="F865">
        <v>16</v>
      </c>
      <c r="G865" t="s">
        <v>18</v>
      </c>
      <c r="H865" s="6">
        <v>45575</v>
      </c>
      <c r="I865">
        <v>3</v>
      </c>
    </row>
    <row r="866" spans="1:9" x14ac:dyDescent="0.3">
      <c r="A866" t="s">
        <v>1753</v>
      </c>
      <c r="B866" t="s">
        <v>1754</v>
      </c>
      <c r="C866" t="s">
        <v>78</v>
      </c>
      <c r="D866" t="s">
        <v>69</v>
      </c>
      <c r="E866" s="5">
        <v>45400</v>
      </c>
      <c r="F866">
        <v>9</v>
      </c>
      <c r="G866" t="s">
        <v>18</v>
      </c>
      <c r="H866" s="6">
        <v>45400</v>
      </c>
      <c r="I866">
        <v>4</v>
      </c>
    </row>
    <row r="867" spans="1:9" x14ac:dyDescent="0.3">
      <c r="A867" t="s">
        <v>1755</v>
      </c>
      <c r="B867" t="s">
        <v>1756</v>
      </c>
      <c r="C867" t="s">
        <v>28</v>
      </c>
      <c r="D867" t="s">
        <v>31</v>
      </c>
      <c r="E867" s="5">
        <v>45487</v>
      </c>
      <c r="F867">
        <v>39</v>
      </c>
      <c r="G867" t="s">
        <v>18</v>
      </c>
      <c r="H867" s="6">
        <v>45488</v>
      </c>
      <c r="I867">
        <v>5</v>
      </c>
    </row>
    <row r="868" spans="1:9" x14ac:dyDescent="0.3">
      <c r="A868" t="s">
        <v>1757</v>
      </c>
      <c r="B868" t="s">
        <v>1758</v>
      </c>
      <c r="C868" t="s">
        <v>52</v>
      </c>
      <c r="D868" t="s">
        <v>31</v>
      </c>
      <c r="E868" s="5">
        <v>45448</v>
      </c>
      <c r="F868">
        <v>15</v>
      </c>
      <c r="G868" t="s">
        <v>32</v>
      </c>
      <c r="H868" s="6"/>
    </row>
    <row r="869" spans="1:9" x14ac:dyDescent="0.3">
      <c r="A869" t="s">
        <v>1759</v>
      </c>
      <c r="B869" t="s">
        <v>1760</v>
      </c>
      <c r="C869" t="s">
        <v>78</v>
      </c>
      <c r="D869" t="s">
        <v>17</v>
      </c>
      <c r="E869" s="5">
        <v>45524</v>
      </c>
      <c r="F869">
        <v>21</v>
      </c>
      <c r="G869" t="s">
        <v>13</v>
      </c>
      <c r="H869" s="6"/>
    </row>
    <row r="870" spans="1:9" x14ac:dyDescent="0.3">
      <c r="A870" t="s">
        <v>1761</v>
      </c>
      <c r="B870" t="s">
        <v>1762</v>
      </c>
      <c r="C870" t="s">
        <v>52</v>
      </c>
      <c r="D870" t="s">
        <v>69</v>
      </c>
      <c r="E870" s="5">
        <v>45580</v>
      </c>
      <c r="F870">
        <v>13</v>
      </c>
      <c r="G870" t="s">
        <v>18</v>
      </c>
      <c r="H870" s="6">
        <v>45580</v>
      </c>
      <c r="I870">
        <v>3</v>
      </c>
    </row>
    <row r="871" spans="1:9" x14ac:dyDescent="0.3">
      <c r="A871" t="s">
        <v>1763</v>
      </c>
      <c r="B871" t="s">
        <v>1764</v>
      </c>
      <c r="C871" t="s">
        <v>11</v>
      </c>
      <c r="D871" t="s">
        <v>12</v>
      </c>
      <c r="E871" s="5">
        <v>45368</v>
      </c>
      <c r="F871">
        <v>30</v>
      </c>
      <c r="G871" t="s">
        <v>18</v>
      </c>
      <c r="H871" s="6">
        <v>45369</v>
      </c>
      <c r="I871">
        <v>2</v>
      </c>
    </row>
    <row r="872" spans="1:9" x14ac:dyDescent="0.3">
      <c r="A872" t="s">
        <v>1765</v>
      </c>
      <c r="B872" t="s">
        <v>1766</v>
      </c>
      <c r="C872" t="s">
        <v>52</v>
      </c>
      <c r="D872" t="s">
        <v>23</v>
      </c>
      <c r="E872" s="5">
        <v>45295</v>
      </c>
      <c r="F872">
        <v>3</v>
      </c>
      <c r="G872" t="s">
        <v>18</v>
      </c>
      <c r="H872" s="6">
        <v>45295</v>
      </c>
      <c r="I872">
        <v>5</v>
      </c>
    </row>
    <row r="873" spans="1:9" x14ac:dyDescent="0.3">
      <c r="A873" t="s">
        <v>1767</v>
      </c>
      <c r="B873" t="s">
        <v>1768</v>
      </c>
      <c r="C873" t="s">
        <v>52</v>
      </c>
      <c r="D873" t="s">
        <v>23</v>
      </c>
      <c r="E873" s="5">
        <v>45426</v>
      </c>
      <c r="F873">
        <v>18</v>
      </c>
      <c r="G873" t="s">
        <v>18</v>
      </c>
      <c r="H873" s="6">
        <v>45426</v>
      </c>
      <c r="I873">
        <v>3</v>
      </c>
    </row>
    <row r="874" spans="1:9" x14ac:dyDescent="0.3">
      <c r="A874" t="s">
        <v>1769</v>
      </c>
      <c r="B874" t="s">
        <v>1770</v>
      </c>
      <c r="C874" t="s">
        <v>78</v>
      </c>
      <c r="D874" t="s">
        <v>31</v>
      </c>
      <c r="E874" s="5">
        <v>45339</v>
      </c>
      <c r="F874">
        <v>10</v>
      </c>
      <c r="G874" t="s">
        <v>18</v>
      </c>
      <c r="H874" s="6">
        <v>45339</v>
      </c>
      <c r="I874">
        <v>4</v>
      </c>
    </row>
    <row r="875" spans="1:9" x14ac:dyDescent="0.3">
      <c r="A875" t="s">
        <v>1771</v>
      </c>
      <c r="B875" t="s">
        <v>1772</v>
      </c>
      <c r="C875" t="s">
        <v>11</v>
      </c>
      <c r="D875" t="s">
        <v>69</v>
      </c>
      <c r="E875" s="5">
        <v>45539</v>
      </c>
      <c r="F875">
        <v>33</v>
      </c>
      <c r="G875" t="s">
        <v>18</v>
      </c>
      <c r="H875" s="6">
        <v>45540</v>
      </c>
      <c r="I875">
        <v>5</v>
      </c>
    </row>
    <row r="876" spans="1:9" x14ac:dyDescent="0.3">
      <c r="A876" t="s">
        <v>1773</v>
      </c>
      <c r="B876" t="s">
        <v>1774</v>
      </c>
      <c r="C876" t="s">
        <v>38</v>
      </c>
      <c r="D876" t="s">
        <v>23</v>
      </c>
      <c r="E876" s="5">
        <v>45585</v>
      </c>
      <c r="F876">
        <v>26</v>
      </c>
      <c r="G876" t="s">
        <v>32</v>
      </c>
      <c r="H876" s="6"/>
    </row>
    <row r="877" spans="1:9" x14ac:dyDescent="0.3">
      <c r="A877" t="s">
        <v>1775</v>
      </c>
      <c r="B877" t="s">
        <v>1776</v>
      </c>
      <c r="C877" t="s">
        <v>41</v>
      </c>
      <c r="D877" t="s">
        <v>23</v>
      </c>
      <c r="E877" s="5">
        <v>45605</v>
      </c>
      <c r="F877">
        <v>7</v>
      </c>
      <c r="G877" t="s">
        <v>18</v>
      </c>
      <c r="H877" s="6">
        <v>45605</v>
      </c>
      <c r="I877">
        <v>4</v>
      </c>
    </row>
    <row r="878" spans="1:9" x14ac:dyDescent="0.3">
      <c r="A878" t="s">
        <v>1777</v>
      </c>
      <c r="B878" t="s">
        <v>1778</v>
      </c>
      <c r="C878" t="s">
        <v>11</v>
      </c>
      <c r="D878" t="s">
        <v>12</v>
      </c>
      <c r="E878" s="5">
        <v>45536</v>
      </c>
      <c r="F878">
        <v>12</v>
      </c>
      <c r="G878" t="s">
        <v>18</v>
      </c>
      <c r="H878" s="6">
        <v>45536</v>
      </c>
      <c r="I878">
        <v>4</v>
      </c>
    </row>
    <row r="879" spans="1:9" x14ac:dyDescent="0.3">
      <c r="A879" t="s">
        <v>1779</v>
      </c>
      <c r="B879" t="s">
        <v>1780</v>
      </c>
      <c r="C879" t="s">
        <v>11</v>
      </c>
      <c r="D879" t="s">
        <v>69</v>
      </c>
      <c r="E879" s="5">
        <v>45337</v>
      </c>
      <c r="F879">
        <v>6</v>
      </c>
      <c r="G879" t="s">
        <v>32</v>
      </c>
      <c r="H879" s="6"/>
    </row>
    <row r="880" spans="1:9" x14ac:dyDescent="0.3">
      <c r="A880" t="s">
        <v>1781</v>
      </c>
      <c r="B880" t="s">
        <v>1782</v>
      </c>
      <c r="C880" t="s">
        <v>78</v>
      </c>
      <c r="D880" t="s">
        <v>12</v>
      </c>
      <c r="E880" s="5">
        <v>45604</v>
      </c>
      <c r="F880">
        <v>14</v>
      </c>
      <c r="G880" t="s">
        <v>18</v>
      </c>
      <c r="H880" s="6">
        <v>45604</v>
      </c>
      <c r="I880">
        <v>3</v>
      </c>
    </row>
    <row r="881" spans="1:9" x14ac:dyDescent="0.3">
      <c r="A881" t="s">
        <v>1783</v>
      </c>
      <c r="B881" t="s">
        <v>1784</v>
      </c>
      <c r="C881" t="s">
        <v>11</v>
      </c>
      <c r="D881" t="s">
        <v>23</v>
      </c>
      <c r="E881" s="5">
        <v>45509</v>
      </c>
      <c r="F881">
        <v>32</v>
      </c>
      <c r="G881" t="s">
        <v>13</v>
      </c>
      <c r="H881" s="6"/>
    </row>
    <row r="882" spans="1:9" x14ac:dyDescent="0.3">
      <c r="A882" t="s">
        <v>1785</v>
      </c>
      <c r="B882" t="s">
        <v>1786</v>
      </c>
      <c r="C882" t="s">
        <v>11</v>
      </c>
      <c r="D882" t="s">
        <v>12</v>
      </c>
      <c r="E882" s="5">
        <v>45485</v>
      </c>
      <c r="F882">
        <v>38</v>
      </c>
      <c r="G882" t="s">
        <v>13</v>
      </c>
      <c r="H882" s="6"/>
    </row>
    <row r="883" spans="1:9" x14ac:dyDescent="0.3">
      <c r="A883" t="s">
        <v>1787</v>
      </c>
      <c r="B883" t="s">
        <v>1788</v>
      </c>
      <c r="C883" t="s">
        <v>28</v>
      </c>
      <c r="D883" t="s">
        <v>12</v>
      </c>
      <c r="E883" s="5">
        <v>45504</v>
      </c>
      <c r="F883">
        <v>88</v>
      </c>
      <c r="G883" t="s">
        <v>18</v>
      </c>
      <c r="H883" s="6">
        <v>45507</v>
      </c>
      <c r="I883">
        <v>5</v>
      </c>
    </row>
    <row r="884" spans="1:9" x14ac:dyDescent="0.3">
      <c r="A884" t="s">
        <v>1789</v>
      </c>
      <c r="B884" t="s">
        <v>1790</v>
      </c>
      <c r="C884" t="s">
        <v>52</v>
      </c>
      <c r="D884" t="s">
        <v>17</v>
      </c>
      <c r="E884" s="5">
        <v>45608</v>
      </c>
      <c r="F884">
        <v>20</v>
      </c>
      <c r="G884" t="s">
        <v>13</v>
      </c>
      <c r="H884" s="6"/>
    </row>
    <row r="885" spans="1:9" x14ac:dyDescent="0.3">
      <c r="A885" t="s">
        <v>1791</v>
      </c>
      <c r="B885" t="s">
        <v>1792</v>
      </c>
      <c r="C885" t="s">
        <v>16</v>
      </c>
      <c r="D885" t="s">
        <v>17</v>
      </c>
      <c r="E885" s="5">
        <v>45307</v>
      </c>
      <c r="F885">
        <v>31</v>
      </c>
      <c r="G885" t="s">
        <v>32</v>
      </c>
      <c r="H885" s="6"/>
    </row>
    <row r="886" spans="1:9" x14ac:dyDescent="0.3">
      <c r="A886" t="s">
        <v>1793</v>
      </c>
      <c r="B886" t="s">
        <v>1794</v>
      </c>
      <c r="C886" t="s">
        <v>52</v>
      </c>
      <c r="D886" t="s">
        <v>12</v>
      </c>
      <c r="E886" s="5">
        <v>45554</v>
      </c>
      <c r="F886">
        <v>17</v>
      </c>
      <c r="G886" t="s">
        <v>32</v>
      </c>
      <c r="H886" s="6"/>
    </row>
    <row r="887" spans="1:9" x14ac:dyDescent="0.3">
      <c r="A887" t="s">
        <v>1795</v>
      </c>
      <c r="B887" t="s">
        <v>1796</v>
      </c>
      <c r="C887" t="s">
        <v>35</v>
      </c>
      <c r="D887" t="s">
        <v>69</v>
      </c>
      <c r="E887" s="5">
        <v>45584</v>
      </c>
      <c r="F887">
        <v>58</v>
      </c>
      <c r="G887" t="s">
        <v>18</v>
      </c>
      <c r="H887" s="6">
        <v>45586</v>
      </c>
      <c r="I887">
        <v>1</v>
      </c>
    </row>
    <row r="888" spans="1:9" x14ac:dyDescent="0.3">
      <c r="A888" t="s">
        <v>1797</v>
      </c>
      <c r="B888" t="s">
        <v>1798</v>
      </c>
      <c r="C888" t="s">
        <v>38</v>
      </c>
      <c r="D888" t="s">
        <v>12</v>
      </c>
      <c r="E888" s="5">
        <v>45580</v>
      </c>
      <c r="F888">
        <v>62</v>
      </c>
      <c r="G888" t="s">
        <v>18</v>
      </c>
      <c r="H888" s="6">
        <v>45582</v>
      </c>
      <c r="I888">
        <v>1</v>
      </c>
    </row>
    <row r="889" spans="1:9" x14ac:dyDescent="0.3">
      <c r="A889" t="s">
        <v>1799</v>
      </c>
      <c r="B889" t="s">
        <v>1800</v>
      </c>
      <c r="C889" t="s">
        <v>11</v>
      </c>
      <c r="D889" t="s">
        <v>31</v>
      </c>
      <c r="E889" s="5">
        <v>45504</v>
      </c>
      <c r="F889">
        <v>39</v>
      </c>
      <c r="G889" t="s">
        <v>18</v>
      </c>
      <c r="H889" s="6">
        <v>45505</v>
      </c>
      <c r="I889">
        <v>5</v>
      </c>
    </row>
    <row r="890" spans="1:9" x14ac:dyDescent="0.3">
      <c r="A890" t="s">
        <v>1801</v>
      </c>
      <c r="B890" t="s">
        <v>1802</v>
      </c>
      <c r="C890" t="s">
        <v>16</v>
      </c>
      <c r="D890" t="s">
        <v>23</v>
      </c>
      <c r="E890" s="5">
        <v>45645</v>
      </c>
      <c r="F890">
        <v>32</v>
      </c>
      <c r="G890" t="s">
        <v>18</v>
      </c>
      <c r="H890" s="6">
        <v>45646</v>
      </c>
      <c r="I890">
        <v>5</v>
      </c>
    </row>
    <row r="891" spans="1:9" x14ac:dyDescent="0.3">
      <c r="A891" t="s">
        <v>1803</v>
      </c>
      <c r="B891" t="s">
        <v>1804</v>
      </c>
      <c r="C891" t="s">
        <v>52</v>
      </c>
      <c r="D891" t="s">
        <v>12</v>
      </c>
      <c r="E891" s="5">
        <v>45472</v>
      </c>
      <c r="F891">
        <v>16</v>
      </c>
      <c r="G891" t="s">
        <v>18</v>
      </c>
      <c r="H891" s="6">
        <v>45472</v>
      </c>
      <c r="I891">
        <v>3</v>
      </c>
    </row>
    <row r="892" spans="1:9" x14ac:dyDescent="0.3">
      <c r="A892" t="s">
        <v>1805</v>
      </c>
      <c r="B892" t="s">
        <v>1806</v>
      </c>
      <c r="C892" t="s">
        <v>28</v>
      </c>
      <c r="D892" t="s">
        <v>69</v>
      </c>
      <c r="E892" s="5">
        <v>45386</v>
      </c>
      <c r="F892">
        <v>27</v>
      </c>
      <c r="G892" t="s">
        <v>18</v>
      </c>
      <c r="H892" s="6">
        <v>45387</v>
      </c>
      <c r="I892">
        <v>2</v>
      </c>
    </row>
    <row r="893" spans="1:9" x14ac:dyDescent="0.3">
      <c r="A893" t="s">
        <v>1807</v>
      </c>
      <c r="B893" t="s">
        <v>1808</v>
      </c>
      <c r="C893" t="s">
        <v>41</v>
      </c>
      <c r="D893" t="s">
        <v>23</v>
      </c>
      <c r="E893" s="5">
        <v>45304</v>
      </c>
      <c r="F893">
        <v>10</v>
      </c>
      <c r="G893" t="s">
        <v>18</v>
      </c>
      <c r="H893" s="6">
        <v>45304</v>
      </c>
      <c r="I893">
        <v>4</v>
      </c>
    </row>
    <row r="894" spans="1:9" x14ac:dyDescent="0.3">
      <c r="A894" t="s">
        <v>1809</v>
      </c>
      <c r="B894" t="s">
        <v>1810</v>
      </c>
      <c r="C894" t="s">
        <v>78</v>
      </c>
      <c r="D894" t="s">
        <v>69</v>
      </c>
      <c r="E894" s="5">
        <v>45349</v>
      </c>
      <c r="F894">
        <v>18</v>
      </c>
      <c r="G894" t="s">
        <v>18</v>
      </c>
      <c r="H894" s="6">
        <v>45349</v>
      </c>
      <c r="I894">
        <v>3</v>
      </c>
    </row>
    <row r="895" spans="1:9" x14ac:dyDescent="0.3">
      <c r="A895" t="s">
        <v>1811</v>
      </c>
      <c r="B895" t="s">
        <v>1812</v>
      </c>
      <c r="C895" t="s">
        <v>11</v>
      </c>
      <c r="D895" t="s">
        <v>17</v>
      </c>
      <c r="E895" s="5">
        <v>45461</v>
      </c>
      <c r="F895">
        <v>15</v>
      </c>
      <c r="G895" t="s">
        <v>13</v>
      </c>
      <c r="H895" s="6"/>
    </row>
    <row r="896" spans="1:9" x14ac:dyDescent="0.3">
      <c r="A896" t="s">
        <v>1813</v>
      </c>
      <c r="B896" t="s">
        <v>1814</v>
      </c>
      <c r="C896" t="s">
        <v>52</v>
      </c>
      <c r="D896" t="s">
        <v>12</v>
      </c>
      <c r="E896" s="5">
        <v>45656</v>
      </c>
      <c r="F896">
        <v>7</v>
      </c>
      <c r="G896" t="s">
        <v>18</v>
      </c>
      <c r="H896" s="6">
        <v>45656</v>
      </c>
      <c r="I896">
        <v>5</v>
      </c>
    </row>
    <row r="897" spans="1:9" x14ac:dyDescent="0.3">
      <c r="A897" t="s">
        <v>1815</v>
      </c>
      <c r="B897" t="s">
        <v>1816</v>
      </c>
      <c r="C897" t="s">
        <v>35</v>
      </c>
      <c r="D897" t="s">
        <v>12</v>
      </c>
      <c r="E897" s="5">
        <v>45569</v>
      </c>
      <c r="F897">
        <v>40</v>
      </c>
      <c r="G897" t="s">
        <v>18</v>
      </c>
      <c r="H897" s="6">
        <v>45570</v>
      </c>
      <c r="I897">
        <v>2</v>
      </c>
    </row>
    <row r="898" spans="1:9" x14ac:dyDescent="0.3">
      <c r="A898" t="s">
        <v>1817</v>
      </c>
      <c r="B898" t="s">
        <v>1818</v>
      </c>
      <c r="C898" t="s">
        <v>16</v>
      </c>
      <c r="D898" t="s">
        <v>17</v>
      </c>
      <c r="E898" s="5">
        <v>45343</v>
      </c>
      <c r="F898">
        <v>13</v>
      </c>
      <c r="G898" t="s">
        <v>18</v>
      </c>
      <c r="H898" s="6">
        <v>45343</v>
      </c>
      <c r="I898">
        <v>3</v>
      </c>
    </row>
    <row r="899" spans="1:9" x14ac:dyDescent="0.3">
      <c r="A899" t="s">
        <v>1819</v>
      </c>
      <c r="B899" t="s">
        <v>1820</v>
      </c>
      <c r="C899" t="s">
        <v>35</v>
      </c>
      <c r="D899" t="s">
        <v>12</v>
      </c>
      <c r="E899" s="5">
        <v>45484</v>
      </c>
      <c r="F899">
        <v>20</v>
      </c>
      <c r="G899" t="s">
        <v>18</v>
      </c>
      <c r="H899" s="6">
        <v>45484</v>
      </c>
      <c r="I899">
        <v>3</v>
      </c>
    </row>
    <row r="900" spans="1:9" x14ac:dyDescent="0.3">
      <c r="A900" t="s">
        <v>1821</v>
      </c>
      <c r="B900" t="s">
        <v>1822</v>
      </c>
      <c r="C900" t="s">
        <v>52</v>
      </c>
      <c r="D900" t="s">
        <v>17</v>
      </c>
      <c r="E900" s="5">
        <v>45390</v>
      </c>
      <c r="F900">
        <v>15</v>
      </c>
      <c r="G900" t="s">
        <v>13</v>
      </c>
      <c r="H900" s="6"/>
    </row>
    <row r="901" spans="1:9" x14ac:dyDescent="0.3">
      <c r="A901" t="s">
        <v>1823</v>
      </c>
      <c r="B901" t="s">
        <v>1824</v>
      </c>
      <c r="C901" t="s">
        <v>16</v>
      </c>
      <c r="D901" t="s">
        <v>31</v>
      </c>
      <c r="E901" s="5">
        <v>45505</v>
      </c>
      <c r="F901">
        <v>19</v>
      </c>
      <c r="G901" t="s">
        <v>18</v>
      </c>
      <c r="H901" s="6">
        <v>45505</v>
      </c>
      <c r="I901">
        <v>3</v>
      </c>
    </row>
    <row r="902" spans="1:9" x14ac:dyDescent="0.3">
      <c r="A902" t="s">
        <v>1825</v>
      </c>
      <c r="B902" t="s">
        <v>1826</v>
      </c>
      <c r="C902" t="s">
        <v>35</v>
      </c>
      <c r="D902" t="s">
        <v>69</v>
      </c>
      <c r="E902" s="5">
        <v>45380</v>
      </c>
      <c r="F902">
        <v>45</v>
      </c>
      <c r="G902" t="s">
        <v>18</v>
      </c>
      <c r="H902" s="6">
        <v>45381</v>
      </c>
      <c r="I902">
        <v>2</v>
      </c>
    </row>
    <row r="903" spans="1:9" x14ac:dyDescent="0.3">
      <c r="A903" t="s">
        <v>1827</v>
      </c>
      <c r="B903" t="s">
        <v>1828</v>
      </c>
      <c r="C903" t="s">
        <v>78</v>
      </c>
      <c r="D903" t="s">
        <v>12</v>
      </c>
      <c r="E903" s="5">
        <v>45555</v>
      </c>
      <c r="F903">
        <v>4</v>
      </c>
      <c r="G903" t="s">
        <v>13</v>
      </c>
      <c r="H903" s="6"/>
    </row>
    <row r="904" spans="1:9" x14ac:dyDescent="0.3">
      <c r="A904" t="s">
        <v>1829</v>
      </c>
      <c r="B904" t="s">
        <v>1830</v>
      </c>
      <c r="C904" t="s">
        <v>28</v>
      </c>
      <c r="D904" t="s">
        <v>69</v>
      </c>
      <c r="E904" s="5">
        <v>45329</v>
      </c>
      <c r="F904">
        <v>94</v>
      </c>
      <c r="G904" t="s">
        <v>13</v>
      </c>
      <c r="H904" s="6"/>
    </row>
    <row r="905" spans="1:9" x14ac:dyDescent="0.3">
      <c r="A905" t="s">
        <v>1831</v>
      </c>
      <c r="B905" t="s">
        <v>1832</v>
      </c>
      <c r="C905" t="s">
        <v>52</v>
      </c>
      <c r="D905" t="s">
        <v>69</v>
      </c>
      <c r="E905" s="5">
        <v>45302</v>
      </c>
      <c r="F905">
        <v>20</v>
      </c>
      <c r="G905" t="s">
        <v>18</v>
      </c>
      <c r="H905" s="6">
        <v>45302</v>
      </c>
      <c r="I905">
        <v>3</v>
      </c>
    </row>
    <row r="906" spans="1:9" x14ac:dyDescent="0.3">
      <c r="A906" t="s">
        <v>1833</v>
      </c>
      <c r="B906" t="s">
        <v>1834</v>
      </c>
      <c r="C906" t="s">
        <v>28</v>
      </c>
      <c r="D906" t="s">
        <v>17</v>
      </c>
      <c r="E906" s="5">
        <v>45637</v>
      </c>
      <c r="F906">
        <v>45</v>
      </c>
      <c r="G906" t="s">
        <v>32</v>
      </c>
      <c r="H906" s="6"/>
    </row>
    <row r="907" spans="1:9" x14ac:dyDescent="0.3">
      <c r="A907" t="s">
        <v>1835</v>
      </c>
      <c r="B907" t="s">
        <v>1836</v>
      </c>
      <c r="C907" t="s">
        <v>35</v>
      </c>
      <c r="D907" t="s">
        <v>23</v>
      </c>
      <c r="E907" s="5">
        <v>45505</v>
      </c>
      <c r="F907">
        <v>10</v>
      </c>
      <c r="G907" t="s">
        <v>32</v>
      </c>
      <c r="H907" s="6"/>
    </row>
    <row r="908" spans="1:9" x14ac:dyDescent="0.3">
      <c r="A908" t="s">
        <v>1837</v>
      </c>
      <c r="B908" t="s">
        <v>1838</v>
      </c>
      <c r="C908" t="s">
        <v>41</v>
      </c>
      <c r="D908" t="s">
        <v>23</v>
      </c>
      <c r="E908" s="5">
        <v>45562</v>
      </c>
      <c r="F908">
        <v>8</v>
      </c>
      <c r="G908" t="s">
        <v>18</v>
      </c>
      <c r="H908" s="6">
        <v>45562</v>
      </c>
      <c r="I908">
        <v>4</v>
      </c>
    </row>
    <row r="909" spans="1:9" x14ac:dyDescent="0.3">
      <c r="A909" t="s">
        <v>1839</v>
      </c>
      <c r="B909" t="s">
        <v>1840</v>
      </c>
      <c r="C909" t="s">
        <v>41</v>
      </c>
      <c r="D909" t="s">
        <v>69</v>
      </c>
      <c r="E909" s="5">
        <v>45388</v>
      </c>
      <c r="F909">
        <v>11</v>
      </c>
      <c r="G909" t="s">
        <v>13</v>
      </c>
      <c r="H909" s="6"/>
    </row>
    <row r="910" spans="1:9" x14ac:dyDescent="0.3">
      <c r="A910" t="s">
        <v>1841</v>
      </c>
      <c r="B910" t="s">
        <v>1842</v>
      </c>
      <c r="C910" t="s">
        <v>16</v>
      </c>
      <c r="D910" t="s">
        <v>12</v>
      </c>
      <c r="E910" s="5">
        <v>45503</v>
      </c>
      <c r="F910">
        <v>12</v>
      </c>
      <c r="G910" t="s">
        <v>13</v>
      </c>
      <c r="H910" s="6"/>
    </row>
    <row r="911" spans="1:9" x14ac:dyDescent="0.3">
      <c r="A911" t="s">
        <v>1843</v>
      </c>
      <c r="B911" t="s">
        <v>1844</v>
      </c>
      <c r="C911" t="s">
        <v>28</v>
      </c>
      <c r="D911" t="s">
        <v>12</v>
      </c>
      <c r="E911" s="5">
        <v>45374</v>
      </c>
      <c r="F911">
        <v>32</v>
      </c>
      <c r="G911" t="s">
        <v>18</v>
      </c>
      <c r="H911" s="6">
        <v>45375</v>
      </c>
      <c r="I911">
        <v>2</v>
      </c>
    </row>
    <row r="912" spans="1:9" x14ac:dyDescent="0.3">
      <c r="A912" t="s">
        <v>1845</v>
      </c>
      <c r="B912" t="s">
        <v>1846</v>
      </c>
      <c r="C912" t="s">
        <v>35</v>
      </c>
      <c r="D912" t="s">
        <v>17</v>
      </c>
      <c r="E912" s="5">
        <v>45522</v>
      </c>
      <c r="F912">
        <v>54</v>
      </c>
      <c r="G912" t="s">
        <v>13</v>
      </c>
      <c r="H912" s="6"/>
    </row>
    <row r="913" spans="1:9" x14ac:dyDescent="0.3">
      <c r="A913" t="s">
        <v>1847</v>
      </c>
      <c r="B913" t="s">
        <v>1848</v>
      </c>
      <c r="C913" t="s">
        <v>11</v>
      </c>
      <c r="D913" t="s">
        <v>31</v>
      </c>
      <c r="E913" s="5">
        <v>45440</v>
      </c>
      <c r="F913">
        <v>13</v>
      </c>
      <c r="G913" t="s">
        <v>18</v>
      </c>
      <c r="H913" s="6">
        <v>45440</v>
      </c>
      <c r="I913">
        <v>3</v>
      </c>
    </row>
    <row r="914" spans="1:9" x14ac:dyDescent="0.3">
      <c r="A914" t="s">
        <v>1849</v>
      </c>
      <c r="B914" t="s">
        <v>1850</v>
      </c>
      <c r="C914" t="s">
        <v>28</v>
      </c>
      <c r="D914" t="s">
        <v>69</v>
      </c>
      <c r="E914" s="5">
        <v>45489</v>
      </c>
      <c r="F914">
        <v>53</v>
      </c>
      <c r="G914" t="s">
        <v>18</v>
      </c>
      <c r="H914" s="6">
        <v>45491</v>
      </c>
      <c r="I914">
        <v>5</v>
      </c>
    </row>
    <row r="915" spans="1:9" x14ac:dyDescent="0.3">
      <c r="A915" t="s">
        <v>1851</v>
      </c>
      <c r="B915" t="s">
        <v>1852</v>
      </c>
      <c r="C915" t="s">
        <v>38</v>
      </c>
      <c r="D915" t="s">
        <v>12</v>
      </c>
      <c r="E915" s="5">
        <v>45356</v>
      </c>
      <c r="F915">
        <v>72</v>
      </c>
      <c r="G915" t="s">
        <v>13</v>
      </c>
      <c r="H915" s="6"/>
    </row>
    <row r="916" spans="1:9" x14ac:dyDescent="0.3">
      <c r="A916" t="s">
        <v>1853</v>
      </c>
      <c r="B916" t="s">
        <v>1854</v>
      </c>
      <c r="C916" t="s">
        <v>52</v>
      </c>
      <c r="D916" t="s">
        <v>23</v>
      </c>
      <c r="E916" s="5">
        <v>45584</v>
      </c>
      <c r="F916">
        <v>5</v>
      </c>
      <c r="G916" t="s">
        <v>18</v>
      </c>
      <c r="H916" s="6">
        <v>45584</v>
      </c>
      <c r="I916">
        <v>5</v>
      </c>
    </row>
    <row r="917" spans="1:9" x14ac:dyDescent="0.3">
      <c r="A917" t="s">
        <v>1855</v>
      </c>
      <c r="B917" t="s">
        <v>1856</v>
      </c>
      <c r="C917" t="s">
        <v>41</v>
      </c>
      <c r="D917" t="s">
        <v>31</v>
      </c>
      <c r="E917" s="5">
        <v>45532</v>
      </c>
      <c r="F917">
        <v>7</v>
      </c>
      <c r="G917" t="s">
        <v>18</v>
      </c>
      <c r="H917" s="6">
        <v>45532</v>
      </c>
      <c r="I917">
        <v>4</v>
      </c>
    </row>
    <row r="918" spans="1:9" x14ac:dyDescent="0.3">
      <c r="A918" t="s">
        <v>1857</v>
      </c>
      <c r="B918" t="s">
        <v>1858</v>
      </c>
      <c r="C918" t="s">
        <v>41</v>
      </c>
      <c r="D918" t="s">
        <v>69</v>
      </c>
      <c r="E918" s="5">
        <v>45458</v>
      </c>
      <c r="F918">
        <v>12</v>
      </c>
      <c r="G918" t="s">
        <v>18</v>
      </c>
      <c r="H918" s="6">
        <v>45458</v>
      </c>
      <c r="I918">
        <v>4</v>
      </c>
    </row>
    <row r="919" spans="1:9" x14ac:dyDescent="0.3">
      <c r="A919" t="s">
        <v>1859</v>
      </c>
      <c r="B919" t="s">
        <v>1860</v>
      </c>
      <c r="C919" t="s">
        <v>35</v>
      </c>
      <c r="D919" t="s">
        <v>31</v>
      </c>
      <c r="E919" s="5">
        <v>45585</v>
      </c>
      <c r="F919">
        <v>58</v>
      </c>
      <c r="G919" t="s">
        <v>18</v>
      </c>
      <c r="H919" s="6">
        <v>45587</v>
      </c>
      <c r="I919">
        <v>1</v>
      </c>
    </row>
    <row r="920" spans="1:9" x14ac:dyDescent="0.3">
      <c r="A920" t="s">
        <v>1861</v>
      </c>
      <c r="B920" t="s">
        <v>1862</v>
      </c>
      <c r="C920" t="s">
        <v>28</v>
      </c>
      <c r="D920" t="s">
        <v>69</v>
      </c>
      <c r="E920" s="5">
        <v>45588</v>
      </c>
      <c r="F920">
        <v>94</v>
      </c>
      <c r="G920" t="s">
        <v>18</v>
      </c>
      <c r="H920" s="6">
        <v>45591</v>
      </c>
      <c r="I920">
        <v>1</v>
      </c>
    </row>
    <row r="921" spans="1:9" x14ac:dyDescent="0.3">
      <c r="A921" t="s">
        <v>1863</v>
      </c>
      <c r="B921" t="s">
        <v>1864</v>
      </c>
      <c r="C921" t="s">
        <v>38</v>
      </c>
      <c r="D921" t="s">
        <v>17</v>
      </c>
      <c r="E921" s="5">
        <v>45514</v>
      </c>
      <c r="F921">
        <v>11</v>
      </c>
      <c r="G921" t="s">
        <v>18</v>
      </c>
      <c r="H921" s="6">
        <v>45514</v>
      </c>
      <c r="I921">
        <v>4</v>
      </c>
    </row>
    <row r="922" spans="1:9" x14ac:dyDescent="0.3">
      <c r="A922" t="s">
        <v>1865</v>
      </c>
      <c r="B922" t="s">
        <v>1866</v>
      </c>
      <c r="C922" t="s">
        <v>11</v>
      </c>
      <c r="D922" t="s">
        <v>12</v>
      </c>
      <c r="E922" s="5">
        <v>45369</v>
      </c>
      <c r="F922">
        <v>10</v>
      </c>
      <c r="G922" t="s">
        <v>13</v>
      </c>
      <c r="H922" s="6"/>
    </row>
    <row r="923" spans="1:9" x14ac:dyDescent="0.3">
      <c r="A923" t="s">
        <v>1867</v>
      </c>
      <c r="B923" t="s">
        <v>1868</v>
      </c>
      <c r="C923" t="s">
        <v>11</v>
      </c>
      <c r="D923" t="s">
        <v>69</v>
      </c>
      <c r="E923" s="5">
        <v>45637</v>
      </c>
      <c r="F923">
        <v>27</v>
      </c>
      <c r="G923" t="s">
        <v>32</v>
      </c>
      <c r="H923" s="6"/>
    </row>
    <row r="924" spans="1:9" x14ac:dyDescent="0.3">
      <c r="A924" t="s">
        <v>1869</v>
      </c>
      <c r="B924" t="s">
        <v>1870</v>
      </c>
      <c r="C924" t="s">
        <v>16</v>
      </c>
      <c r="D924" t="s">
        <v>31</v>
      </c>
      <c r="E924" s="5">
        <v>45370</v>
      </c>
      <c r="F924">
        <v>33</v>
      </c>
      <c r="G924" t="s">
        <v>13</v>
      </c>
      <c r="H924" s="6"/>
    </row>
    <row r="925" spans="1:9" x14ac:dyDescent="0.3">
      <c r="A925" t="s">
        <v>1871</v>
      </c>
      <c r="B925" t="s">
        <v>1872</v>
      </c>
      <c r="C925" t="s">
        <v>28</v>
      </c>
      <c r="D925" t="s">
        <v>31</v>
      </c>
      <c r="E925" s="5">
        <v>45625</v>
      </c>
      <c r="F925">
        <v>71</v>
      </c>
      <c r="G925" t="s">
        <v>13</v>
      </c>
      <c r="H925" s="6"/>
    </row>
    <row r="926" spans="1:9" x14ac:dyDescent="0.3">
      <c r="A926" t="s">
        <v>1873</v>
      </c>
      <c r="B926" t="s">
        <v>1874</v>
      </c>
      <c r="C926" t="s">
        <v>28</v>
      </c>
      <c r="D926" t="s">
        <v>31</v>
      </c>
      <c r="E926" s="5">
        <v>45339</v>
      </c>
      <c r="F926">
        <v>26</v>
      </c>
      <c r="G926" t="s">
        <v>32</v>
      </c>
      <c r="H926" s="6"/>
    </row>
    <row r="927" spans="1:9" x14ac:dyDescent="0.3">
      <c r="A927" t="s">
        <v>1875</v>
      </c>
      <c r="B927" t="s">
        <v>1876</v>
      </c>
      <c r="C927" t="s">
        <v>35</v>
      </c>
      <c r="D927" t="s">
        <v>12</v>
      </c>
      <c r="E927" s="5">
        <v>45299</v>
      </c>
      <c r="F927">
        <v>36</v>
      </c>
      <c r="G927" t="s">
        <v>32</v>
      </c>
      <c r="H927" s="6"/>
    </row>
    <row r="928" spans="1:9" x14ac:dyDescent="0.3">
      <c r="A928" t="s">
        <v>1877</v>
      </c>
      <c r="B928" t="s">
        <v>1878</v>
      </c>
      <c r="C928" t="s">
        <v>52</v>
      </c>
      <c r="D928" t="s">
        <v>12</v>
      </c>
      <c r="E928" s="5">
        <v>45617</v>
      </c>
      <c r="F928">
        <v>14</v>
      </c>
      <c r="G928" t="s">
        <v>18</v>
      </c>
      <c r="H928" s="6">
        <v>45617</v>
      </c>
      <c r="I928">
        <v>5</v>
      </c>
    </row>
    <row r="929" spans="1:9" x14ac:dyDescent="0.3">
      <c r="A929" t="s">
        <v>1879</v>
      </c>
      <c r="B929" t="s">
        <v>1880</v>
      </c>
      <c r="C929" t="s">
        <v>11</v>
      </c>
      <c r="D929" t="s">
        <v>31</v>
      </c>
      <c r="E929" s="5">
        <v>45485</v>
      </c>
      <c r="F929">
        <v>19</v>
      </c>
      <c r="G929" t="s">
        <v>13</v>
      </c>
      <c r="H929" s="6"/>
    </row>
    <row r="930" spans="1:9" x14ac:dyDescent="0.3">
      <c r="A930" t="s">
        <v>1881</v>
      </c>
      <c r="B930" t="s">
        <v>1882</v>
      </c>
      <c r="C930" t="s">
        <v>52</v>
      </c>
      <c r="D930" t="s">
        <v>23</v>
      </c>
      <c r="E930" s="5">
        <v>45579</v>
      </c>
      <c r="F930">
        <v>4</v>
      </c>
      <c r="G930" t="s">
        <v>32</v>
      </c>
      <c r="H930" s="6"/>
    </row>
    <row r="931" spans="1:9" x14ac:dyDescent="0.3">
      <c r="A931" t="s">
        <v>1883</v>
      </c>
      <c r="B931" t="s">
        <v>1884</v>
      </c>
      <c r="C931" t="s">
        <v>38</v>
      </c>
      <c r="D931" t="s">
        <v>31</v>
      </c>
      <c r="E931" s="5">
        <v>45352</v>
      </c>
      <c r="F931">
        <v>57</v>
      </c>
      <c r="G931" t="s">
        <v>13</v>
      </c>
      <c r="H931" s="6"/>
    </row>
    <row r="932" spans="1:9" x14ac:dyDescent="0.3">
      <c r="A932" t="s">
        <v>1885</v>
      </c>
      <c r="B932" t="s">
        <v>1886</v>
      </c>
      <c r="C932" t="s">
        <v>38</v>
      </c>
      <c r="D932" t="s">
        <v>12</v>
      </c>
      <c r="E932" s="5">
        <v>45550</v>
      </c>
      <c r="F932">
        <v>26</v>
      </c>
      <c r="G932" t="s">
        <v>13</v>
      </c>
      <c r="H932" s="6"/>
    </row>
    <row r="933" spans="1:9" x14ac:dyDescent="0.3">
      <c r="A933" t="s">
        <v>1887</v>
      </c>
      <c r="B933" t="s">
        <v>1888</v>
      </c>
      <c r="C933" t="s">
        <v>38</v>
      </c>
      <c r="D933" t="s">
        <v>17</v>
      </c>
      <c r="E933" s="5">
        <v>45351</v>
      </c>
      <c r="F933">
        <v>15</v>
      </c>
      <c r="G933" t="s">
        <v>18</v>
      </c>
      <c r="H933" s="6">
        <v>45351</v>
      </c>
      <c r="I933">
        <v>5</v>
      </c>
    </row>
    <row r="934" spans="1:9" x14ac:dyDescent="0.3">
      <c r="A934" t="s">
        <v>1889</v>
      </c>
      <c r="B934" t="s">
        <v>1890</v>
      </c>
      <c r="C934" t="s">
        <v>11</v>
      </c>
      <c r="D934" t="s">
        <v>31</v>
      </c>
      <c r="E934" s="5">
        <v>45646</v>
      </c>
      <c r="F934">
        <v>34</v>
      </c>
      <c r="G934" t="s">
        <v>18</v>
      </c>
      <c r="H934" s="6">
        <v>45647</v>
      </c>
      <c r="I934">
        <v>2</v>
      </c>
    </row>
    <row r="935" spans="1:9" x14ac:dyDescent="0.3">
      <c r="A935" t="s">
        <v>1891</v>
      </c>
      <c r="B935" t="s">
        <v>1892</v>
      </c>
      <c r="C935" t="s">
        <v>38</v>
      </c>
      <c r="D935" t="s">
        <v>12</v>
      </c>
      <c r="E935" s="5">
        <v>45538</v>
      </c>
      <c r="F935">
        <v>47</v>
      </c>
      <c r="G935" t="s">
        <v>18</v>
      </c>
      <c r="H935" s="6">
        <v>45539</v>
      </c>
      <c r="I935">
        <v>5</v>
      </c>
    </row>
    <row r="936" spans="1:9" x14ac:dyDescent="0.3">
      <c r="A936" t="s">
        <v>1893</v>
      </c>
      <c r="B936" t="s">
        <v>1894</v>
      </c>
      <c r="C936" t="s">
        <v>11</v>
      </c>
      <c r="D936" t="s">
        <v>23</v>
      </c>
      <c r="E936" s="5">
        <v>45369</v>
      </c>
      <c r="F936">
        <v>8</v>
      </c>
      <c r="G936" t="s">
        <v>18</v>
      </c>
      <c r="H936" s="6">
        <v>45369</v>
      </c>
      <c r="I936">
        <v>4</v>
      </c>
    </row>
    <row r="937" spans="1:9" x14ac:dyDescent="0.3">
      <c r="A937" t="s">
        <v>1895</v>
      </c>
      <c r="B937" t="s">
        <v>1896</v>
      </c>
      <c r="C937" t="s">
        <v>28</v>
      </c>
      <c r="D937" t="s">
        <v>69</v>
      </c>
      <c r="E937" s="5">
        <v>45404</v>
      </c>
      <c r="F937">
        <v>86</v>
      </c>
      <c r="G937" t="s">
        <v>13</v>
      </c>
      <c r="H937" s="6"/>
    </row>
    <row r="938" spans="1:9" x14ac:dyDescent="0.3">
      <c r="A938" t="s">
        <v>1897</v>
      </c>
      <c r="B938" t="s">
        <v>1898</v>
      </c>
      <c r="C938" t="s">
        <v>11</v>
      </c>
      <c r="D938" t="s">
        <v>69</v>
      </c>
      <c r="E938" s="5">
        <v>45583</v>
      </c>
      <c r="F938">
        <v>47</v>
      </c>
      <c r="G938" t="s">
        <v>18</v>
      </c>
      <c r="H938" s="6">
        <v>45584</v>
      </c>
      <c r="I938">
        <v>2</v>
      </c>
    </row>
    <row r="939" spans="1:9" x14ac:dyDescent="0.3">
      <c r="A939" t="s">
        <v>1899</v>
      </c>
      <c r="B939" t="s">
        <v>1900</v>
      </c>
      <c r="C939" t="s">
        <v>52</v>
      </c>
      <c r="D939" t="s">
        <v>12</v>
      </c>
      <c r="E939" s="5">
        <v>45322</v>
      </c>
      <c r="F939">
        <v>13</v>
      </c>
      <c r="G939" t="s">
        <v>18</v>
      </c>
      <c r="H939" s="6">
        <v>45322</v>
      </c>
      <c r="I939">
        <v>3</v>
      </c>
    </row>
    <row r="940" spans="1:9" x14ac:dyDescent="0.3">
      <c r="A940" t="s">
        <v>1901</v>
      </c>
      <c r="B940" t="s">
        <v>1902</v>
      </c>
      <c r="C940" t="s">
        <v>35</v>
      </c>
      <c r="D940" t="s">
        <v>12</v>
      </c>
      <c r="E940" s="5">
        <v>45567</v>
      </c>
      <c r="F940">
        <v>64</v>
      </c>
      <c r="G940" t="s">
        <v>18</v>
      </c>
      <c r="H940" s="6">
        <v>45569</v>
      </c>
      <c r="I940">
        <v>1</v>
      </c>
    </row>
    <row r="941" spans="1:9" x14ac:dyDescent="0.3">
      <c r="A941" t="s">
        <v>1903</v>
      </c>
      <c r="B941" t="s">
        <v>1904</v>
      </c>
      <c r="C941" t="s">
        <v>16</v>
      </c>
      <c r="D941" t="s">
        <v>31</v>
      </c>
      <c r="E941" s="5">
        <v>45586</v>
      </c>
      <c r="F941">
        <v>14</v>
      </c>
      <c r="G941" t="s">
        <v>18</v>
      </c>
      <c r="H941" s="6">
        <v>45586</v>
      </c>
      <c r="I941">
        <v>3</v>
      </c>
    </row>
    <row r="942" spans="1:9" x14ac:dyDescent="0.3">
      <c r="A942" t="s">
        <v>1905</v>
      </c>
      <c r="B942" t="s">
        <v>1906</v>
      </c>
      <c r="C942" t="s">
        <v>11</v>
      </c>
      <c r="D942" t="s">
        <v>17</v>
      </c>
      <c r="E942" s="5">
        <v>45453</v>
      </c>
      <c r="F942">
        <v>15</v>
      </c>
      <c r="G942" t="s">
        <v>18</v>
      </c>
      <c r="H942" s="6">
        <v>45453</v>
      </c>
      <c r="I942">
        <v>3</v>
      </c>
    </row>
    <row r="943" spans="1:9" x14ac:dyDescent="0.3">
      <c r="A943" t="s">
        <v>1907</v>
      </c>
      <c r="B943" t="s">
        <v>1908</v>
      </c>
      <c r="C943" t="s">
        <v>28</v>
      </c>
      <c r="D943" t="s">
        <v>69</v>
      </c>
      <c r="E943" s="5">
        <v>45557</v>
      </c>
      <c r="F943">
        <v>72</v>
      </c>
      <c r="G943" t="s">
        <v>18</v>
      </c>
      <c r="H943" s="6">
        <v>45560</v>
      </c>
      <c r="I943">
        <v>1</v>
      </c>
    </row>
    <row r="944" spans="1:9" x14ac:dyDescent="0.3">
      <c r="A944" t="s">
        <v>1909</v>
      </c>
      <c r="B944" t="s">
        <v>1910</v>
      </c>
      <c r="C944" t="s">
        <v>52</v>
      </c>
      <c r="D944" t="s">
        <v>17</v>
      </c>
      <c r="E944" s="5">
        <v>45508</v>
      </c>
      <c r="F944">
        <v>7</v>
      </c>
      <c r="G944" t="s">
        <v>18</v>
      </c>
      <c r="H944" s="6">
        <v>45508</v>
      </c>
      <c r="I944">
        <v>4</v>
      </c>
    </row>
    <row r="945" spans="1:9" x14ac:dyDescent="0.3">
      <c r="A945" t="s">
        <v>1911</v>
      </c>
      <c r="B945" t="s">
        <v>1912</v>
      </c>
      <c r="C945" t="s">
        <v>41</v>
      </c>
      <c r="D945" t="s">
        <v>23</v>
      </c>
      <c r="E945" s="5">
        <v>45541</v>
      </c>
      <c r="F945">
        <v>6</v>
      </c>
      <c r="G945" t="s">
        <v>32</v>
      </c>
      <c r="H945" s="6"/>
    </row>
    <row r="946" spans="1:9" x14ac:dyDescent="0.3">
      <c r="A946" t="s">
        <v>1913</v>
      </c>
      <c r="B946" t="s">
        <v>1914</v>
      </c>
      <c r="C946" t="s">
        <v>35</v>
      </c>
      <c r="D946" t="s">
        <v>17</v>
      </c>
      <c r="E946" s="5">
        <v>45601</v>
      </c>
      <c r="F946">
        <v>46</v>
      </c>
      <c r="G946" t="s">
        <v>18</v>
      </c>
      <c r="H946" s="6">
        <v>45602</v>
      </c>
      <c r="I946">
        <v>2</v>
      </c>
    </row>
    <row r="947" spans="1:9" x14ac:dyDescent="0.3">
      <c r="A947" t="s">
        <v>1915</v>
      </c>
      <c r="B947" t="s">
        <v>1916</v>
      </c>
      <c r="C947" t="s">
        <v>41</v>
      </c>
      <c r="D947" t="s">
        <v>17</v>
      </c>
      <c r="E947" s="5">
        <v>45507</v>
      </c>
      <c r="F947">
        <v>4</v>
      </c>
      <c r="G947" t="s">
        <v>18</v>
      </c>
      <c r="H947" s="6">
        <v>45507</v>
      </c>
      <c r="I947">
        <v>5</v>
      </c>
    </row>
    <row r="948" spans="1:9" x14ac:dyDescent="0.3">
      <c r="A948" t="s">
        <v>1917</v>
      </c>
      <c r="B948" t="s">
        <v>1918</v>
      </c>
      <c r="C948" t="s">
        <v>41</v>
      </c>
      <c r="D948" t="s">
        <v>69</v>
      </c>
      <c r="E948" s="5">
        <v>45331</v>
      </c>
      <c r="F948">
        <v>7</v>
      </c>
      <c r="G948" t="s">
        <v>18</v>
      </c>
      <c r="H948" s="6">
        <v>45331</v>
      </c>
      <c r="I948">
        <v>4</v>
      </c>
    </row>
    <row r="949" spans="1:9" x14ac:dyDescent="0.3">
      <c r="A949" t="s">
        <v>1919</v>
      </c>
      <c r="B949" t="s">
        <v>1920</v>
      </c>
      <c r="C949" t="s">
        <v>38</v>
      </c>
      <c r="D949" t="s">
        <v>69</v>
      </c>
      <c r="E949" s="5">
        <v>45340</v>
      </c>
      <c r="F949">
        <v>50</v>
      </c>
      <c r="G949" t="s">
        <v>18</v>
      </c>
      <c r="H949" s="6">
        <v>45342</v>
      </c>
      <c r="I949">
        <v>1</v>
      </c>
    </row>
    <row r="950" spans="1:9" x14ac:dyDescent="0.3">
      <c r="A950" t="s">
        <v>1921</v>
      </c>
      <c r="B950" t="s">
        <v>1922</v>
      </c>
      <c r="C950" t="s">
        <v>78</v>
      </c>
      <c r="D950" t="s">
        <v>12</v>
      </c>
      <c r="E950" s="5">
        <v>45656</v>
      </c>
      <c r="F950">
        <v>3</v>
      </c>
      <c r="G950" t="s">
        <v>13</v>
      </c>
      <c r="H950" s="6"/>
    </row>
    <row r="951" spans="1:9" x14ac:dyDescent="0.3">
      <c r="A951" t="s">
        <v>1923</v>
      </c>
      <c r="B951" t="s">
        <v>1924</v>
      </c>
      <c r="C951" t="s">
        <v>38</v>
      </c>
      <c r="D951" t="s">
        <v>31</v>
      </c>
      <c r="E951" s="5">
        <v>45337</v>
      </c>
      <c r="F951">
        <v>22</v>
      </c>
      <c r="G951" t="s">
        <v>18</v>
      </c>
      <c r="H951" s="6">
        <v>45337</v>
      </c>
      <c r="I951">
        <v>3</v>
      </c>
    </row>
    <row r="952" spans="1:9" x14ac:dyDescent="0.3">
      <c r="A952" t="s">
        <v>1925</v>
      </c>
      <c r="B952" t="s">
        <v>1926</v>
      </c>
      <c r="C952" t="s">
        <v>16</v>
      </c>
      <c r="D952" t="s">
        <v>69</v>
      </c>
      <c r="E952" s="5">
        <v>45544</v>
      </c>
      <c r="F952">
        <v>32</v>
      </c>
      <c r="G952" t="s">
        <v>13</v>
      </c>
      <c r="H952" s="6"/>
    </row>
    <row r="953" spans="1:9" x14ac:dyDescent="0.3">
      <c r="A953" t="s">
        <v>1927</v>
      </c>
      <c r="B953" t="s">
        <v>1928</v>
      </c>
      <c r="C953" t="s">
        <v>11</v>
      </c>
      <c r="D953" t="s">
        <v>31</v>
      </c>
      <c r="E953" s="5">
        <v>45344</v>
      </c>
      <c r="F953">
        <v>16</v>
      </c>
      <c r="G953" t="s">
        <v>13</v>
      </c>
      <c r="H953" s="6"/>
    </row>
    <row r="954" spans="1:9" x14ac:dyDescent="0.3">
      <c r="A954" t="s">
        <v>1929</v>
      </c>
      <c r="B954" t="s">
        <v>1930</v>
      </c>
      <c r="C954" t="s">
        <v>16</v>
      </c>
      <c r="D954" t="s">
        <v>23</v>
      </c>
      <c r="E954" s="5">
        <v>45432</v>
      </c>
      <c r="F954">
        <v>23</v>
      </c>
      <c r="G954" t="s">
        <v>32</v>
      </c>
      <c r="H954" s="6"/>
    </row>
    <row r="955" spans="1:9" x14ac:dyDescent="0.3">
      <c r="A955" t="s">
        <v>1931</v>
      </c>
      <c r="B955" t="s">
        <v>1932</v>
      </c>
      <c r="C955" t="s">
        <v>41</v>
      </c>
      <c r="D955" t="s">
        <v>69</v>
      </c>
      <c r="E955" s="5">
        <v>45532</v>
      </c>
      <c r="F955">
        <v>9</v>
      </c>
      <c r="G955" t="s">
        <v>18</v>
      </c>
      <c r="H955" s="6">
        <v>45532</v>
      </c>
      <c r="I955">
        <v>4</v>
      </c>
    </row>
    <row r="956" spans="1:9" x14ac:dyDescent="0.3">
      <c r="A956" t="s">
        <v>1933</v>
      </c>
      <c r="B956" t="s">
        <v>1934</v>
      </c>
      <c r="C956" t="s">
        <v>28</v>
      </c>
      <c r="D956" t="s">
        <v>17</v>
      </c>
      <c r="E956" s="5">
        <v>45522</v>
      </c>
      <c r="F956">
        <v>76</v>
      </c>
      <c r="G956" t="s">
        <v>18</v>
      </c>
      <c r="H956" s="6">
        <v>45525</v>
      </c>
      <c r="I956">
        <v>1</v>
      </c>
    </row>
    <row r="957" spans="1:9" x14ac:dyDescent="0.3">
      <c r="A957" t="s">
        <v>1935</v>
      </c>
      <c r="B957" t="s">
        <v>1936</v>
      </c>
      <c r="C957" t="s">
        <v>52</v>
      </c>
      <c r="D957" t="s">
        <v>12</v>
      </c>
      <c r="E957" s="5">
        <v>45509</v>
      </c>
      <c r="F957">
        <v>21</v>
      </c>
      <c r="G957" t="s">
        <v>18</v>
      </c>
      <c r="H957" s="6">
        <v>45509</v>
      </c>
      <c r="I957">
        <v>3</v>
      </c>
    </row>
    <row r="958" spans="1:9" x14ac:dyDescent="0.3">
      <c r="A958" t="s">
        <v>1937</v>
      </c>
      <c r="B958" t="s">
        <v>1938</v>
      </c>
      <c r="C958" t="s">
        <v>52</v>
      </c>
      <c r="D958" t="s">
        <v>23</v>
      </c>
      <c r="E958" s="5">
        <v>45558</v>
      </c>
      <c r="F958">
        <v>3</v>
      </c>
      <c r="G958" t="s">
        <v>18</v>
      </c>
      <c r="H958" s="6">
        <v>45558</v>
      </c>
      <c r="I958">
        <v>5</v>
      </c>
    </row>
    <row r="959" spans="1:9" x14ac:dyDescent="0.3">
      <c r="A959" t="s">
        <v>1939</v>
      </c>
      <c r="B959" t="s">
        <v>1940</v>
      </c>
      <c r="C959" t="s">
        <v>52</v>
      </c>
      <c r="D959" t="s">
        <v>23</v>
      </c>
      <c r="E959" s="5">
        <v>45344</v>
      </c>
      <c r="F959">
        <v>8</v>
      </c>
      <c r="G959" t="s">
        <v>18</v>
      </c>
      <c r="H959" s="6">
        <v>45344</v>
      </c>
      <c r="I959">
        <v>4</v>
      </c>
    </row>
    <row r="960" spans="1:9" x14ac:dyDescent="0.3">
      <c r="A960" t="s">
        <v>1941</v>
      </c>
      <c r="B960" t="s">
        <v>1942</v>
      </c>
      <c r="C960" t="s">
        <v>16</v>
      </c>
      <c r="D960" t="s">
        <v>31</v>
      </c>
      <c r="E960" s="5">
        <v>45650</v>
      </c>
      <c r="F960">
        <v>14</v>
      </c>
      <c r="G960" t="s">
        <v>18</v>
      </c>
      <c r="H960" s="6">
        <v>45650</v>
      </c>
      <c r="I960">
        <v>3</v>
      </c>
    </row>
    <row r="961" spans="1:9" x14ac:dyDescent="0.3">
      <c r="A961" t="s">
        <v>1943</v>
      </c>
      <c r="B961" t="s">
        <v>1944</v>
      </c>
      <c r="C961" t="s">
        <v>28</v>
      </c>
      <c r="D961" t="s">
        <v>23</v>
      </c>
      <c r="E961" s="5">
        <v>45296</v>
      </c>
      <c r="F961">
        <v>84</v>
      </c>
      <c r="G961" t="s">
        <v>13</v>
      </c>
      <c r="H961" s="6"/>
    </row>
    <row r="962" spans="1:9" x14ac:dyDescent="0.3">
      <c r="A962" t="s">
        <v>1945</v>
      </c>
      <c r="B962" t="s">
        <v>1946</v>
      </c>
      <c r="C962" t="s">
        <v>35</v>
      </c>
      <c r="D962" t="s">
        <v>31</v>
      </c>
      <c r="E962" s="5">
        <v>45512</v>
      </c>
      <c r="F962">
        <v>45</v>
      </c>
      <c r="G962" t="s">
        <v>18</v>
      </c>
      <c r="H962" s="6">
        <v>45513</v>
      </c>
      <c r="I962">
        <v>2</v>
      </c>
    </row>
    <row r="963" spans="1:9" x14ac:dyDescent="0.3">
      <c r="A963" t="s">
        <v>1947</v>
      </c>
      <c r="B963" t="s">
        <v>1948</v>
      </c>
      <c r="C963" t="s">
        <v>16</v>
      </c>
      <c r="D963" t="s">
        <v>17</v>
      </c>
      <c r="E963" s="5">
        <v>45596</v>
      </c>
      <c r="F963">
        <v>31</v>
      </c>
      <c r="G963" t="s">
        <v>18</v>
      </c>
      <c r="H963" s="6">
        <v>45597</v>
      </c>
      <c r="I963">
        <v>5</v>
      </c>
    </row>
    <row r="964" spans="1:9" x14ac:dyDescent="0.3">
      <c r="A964" t="s">
        <v>1949</v>
      </c>
      <c r="B964" t="s">
        <v>1950</v>
      </c>
      <c r="C964" t="s">
        <v>52</v>
      </c>
      <c r="D964" t="s">
        <v>12</v>
      </c>
      <c r="E964" s="5">
        <v>45327</v>
      </c>
      <c r="F964">
        <v>11</v>
      </c>
      <c r="G964" t="s">
        <v>18</v>
      </c>
      <c r="H964" s="6">
        <v>45327</v>
      </c>
      <c r="I964">
        <v>4</v>
      </c>
    </row>
    <row r="965" spans="1:9" x14ac:dyDescent="0.3">
      <c r="A965" t="s">
        <v>1951</v>
      </c>
      <c r="B965" t="s">
        <v>1952</v>
      </c>
      <c r="C965" t="s">
        <v>28</v>
      </c>
      <c r="D965" t="s">
        <v>69</v>
      </c>
      <c r="E965" s="5">
        <v>45549</v>
      </c>
      <c r="F965">
        <v>96</v>
      </c>
      <c r="G965" t="s">
        <v>18</v>
      </c>
      <c r="H965" s="6">
        <v>45553</v>
      </c>
      <c r="I965">
        <v>5</v>
      </c>
    </row>
    <row r="966" spans="1:9" x14ac:dyDescent="0.3">
      <c r="A966" t="s">
        <v>1953</v>
      </c>
      <c r="B966" t="s">
        <v>1954</v>
      </c>
      <c r="C966" t="s">
        <v>35</v>
      </c>
      <c r="D966" t="s">
        <v>31</v>
      </c>
      <c r="E966" s="5">
        <v>45431</v>
      </c>
      <c r="F966">
        <v>38</v>
      </c>
      <c r="G966" t="s">
        <v>18</v>
      </c>
      <c r="H966" s="6">
        <v>45432</v>
      </c>
      <c r="I966">
        <v>2</v>
      </c>
    </row>
    <row r="967" spans="1:9" x14ac:dyDescent="0.3">
      <c r="A967" t="s">
        <v>1955</v>
      </c>
      <c r="B967" t="s">
        <v>1956</v>
      </c>
      <c r="C967" t="s">
        <v>52</v>
      </c>
      <c r="D967" t="s">
        <v>12</v>
      </c>
      <c r="E967" s="5">
        <v>45647</v>
      </c>
      <c r="F967">
        <v>7</v>
      </c>
      <c r="G967" t="s">
        <v>13</v>
      </c>
      <c r="H967" s="6"/>
    </row>
    <row r="968" spans="1:9" x14ac:dyDescent="0.3">
      <c r="A968" t="s">
        <v>1957</v>
      </c>
      <c r="B968" t="s">
        <v>1958</v>
      </c>
      <c r="C968" t="s">
        <v>41</v>
      </c>
      <c r="D968" t="s">
        <v>31</v>
      </c>
      <c r="E968" s="5">
        <v>45524</v>
      </c>
      <c r="F968">
        <v>5</v>
      </c>
      <c r="G968" t="s">
        <v>18</v>
      </c>
      <c r="H968" s="6">
        <v>45524</v>
      </c>
      <c r="I968">
        <v>5</v>
      </c>
    </row>
    <row r="969" spans="1:9" x14ac:dyDescent="0.3">
      <c r="A969" t="s">
        <v>1959</v>
      </c>
      <c r="B969" t="s">
        <v>1960</v>
      </c>
      <c r="C969" t="s">
        <v>52</v>
      </c>
      <c r="D969" t="s">
        <v>69</v>
      </c>
      <c r="E969" s="5">
        <v>45365</v>
      </c>
      <c r="F969">
        <v>23</v>
      </c>
      <c r="G969" t="s">
        <v>13</v>
      </c>
      <c r="H969" s="6"/>
    </row>
    <row r="970" spans="1:9" x14ac:dyDescent="0.3">
      <c r="A970" t="s">
        <v>1961</v>
      </c>
      <c r="B970" t="s">
        <v>1962</v>
      </c>
      <c r="C970" t="s">
        <v>28</v>
      </c>
      <c r="D970" t="s">
        <v>12</v>
      </c>
      <c r="E970" s="5">
        <v>45335</v>
      </c>
      <c r="F970">
        <v>53</v>
      </c>
      <c r="G970" t="s">
        <v>18</v>
      </c>
      <c r="H970" s="6">
        <v>45337</v>
      </c>
      <c r="I970">
        <v>1</v>
      </c>
    </row>
    <row r="971" spans="1:9" x14ac:dyDescent="0.3">
      <c r="A971" t="s">
        <v>1963</v>
      </c>
      <c r="B971" t="s">
        <v>1964</v>
      </c>
      <c r="C971" t="s">
        <v>38</v>
      </c>
      <c r="D971" t="s">
        <v>17</v>
      </c>
      <c r="E971" s="5">
        <v>45644</v>
      </c>
      <c r="F971">
        <v>64</v>
      </c>
      <c r="G971" t="s">
        <v>32</v>
      </c>
      <c r="H971" s="6"/>
    </row>
    <row r="972" spans="1:9" x14ac:dyDescent="0.3">
      <c r="A972" t="s">
        <v>1965</v>
      </c>
      <c r="B972" t="s">
        <v>1966</v>
      </c>
      <c r="C972" t="s">
        <v>52</v>
      </c>
      <c r="D972" t="s">
        <v>23</v>
      </c>
      <c r="E972" s="5">
        <v>45366</v>
      </c>
      <c r="F972">
        <v>3</v>
      </c>
      <c r="G972" t="s">
        <v>18</v>
      </c>
      <c r="H972" s="6">
        <v>45366</v>
      </c>
      <c r="I972">
        <v>5</v>
      </c>
    </row>
    <row r="973" spans="1:9" x14ac:dyDescent="0.3">
      <c r="A973" t="s">
        <v>1967</v>
      </c>
      <c r="B973" t="s">
        <v>1968</v>
      </c>
      <c r="C973" t="s">
        <v>11</v>
      </c>
      <c r="D973" t="s">
        <v>17</v>
      </c>
      <c r="E973" s="5">
        <v>45482</v>
      </c>
      <c r="F973">
        <v>29</v>
      </c>
      <c r="G973" t="s">
        <v>18</v>
      </c>
      <c r="H973" s="6">
        <v>45483</v>
      </c>
      <c r="I973">
        <v>2</v>
      </c>
    </row>
    <row r="974" spans="1:9" x14ac:dyDescent="0.3">
      <c r="A974" t="s">
        <v>1969</v>
      </c>
      <c r="B974" t="s">
        <v>1970</v>
      </c>
      <c r="C974" t="s">
        <v>35</v>
      </c>
      <c r="D974" t="s">
        <v>31</v>
      </c>
      <c r="E974" s="5">
        <v>45521</v>
      </c>
      <c r="F974">
        <v>37</v>
      </c>
      <c r="G974" t="s">
        <v>18</v>
      </c>
      <c r="H974" s="6">
        <v>45522</v>
      </c>
      <c r="I974">
        <v>2</v>
      </c>
    </row>
    <row r="975" spans="1:9" x14ac:dyDescent="0.3">
      <c r="A975" t="s">
        <v>1971</v>
      </c>
      <c r="B975" t="s">
        <v>1972</v>
      </c>
      <c r="C975" t="s">
        <v>38</v>
      </c>
      <c r="D975" t="s">
        <v>31</v>
      </c>
      <c r="E975" s="5">
        <v>45398</v>
      </c>
      <c r="F975">
        <v>46</v>
      </c>
      <c r="G975" t="s">
        <v>18</v>
      </c>
      <c r="H975" s="6">
        <v>45399</v>
      </c>
      <c r="I975">
        <v>2</v>
      </c>
    </row>
    <row r="976" spans="1:9" x14ac:dyDescent="0.3">
      <c r="A976" t="s">
        <v>1973</v>
      </c>
      <c r="B976" t="s">
        <v>1974</v>
      </c>
      <c r="C976" t="s">
        <v>11</v>
      </c>
      <c r="D976" t="s">
        <v>69</v>
      </c>
      <c r="E976" s="5">
        <v>45365</v>
      </c>
      <c r="F976">
        <v>41</v>
      </c>
      <c r="G976" t="s">
        <v>32</v>
      </c>
      <c r="H976" s="6"/>
    </row>
    <row r="977" spans="1:9" x14ac:dyDescent="0.3">
      <c r="A977" t="s">
        <v>1975</v>
      </c>
      <c r="B977" t="s">
        <v>1976</v>
      </c>
      <c r="C977" t="s">
        <v>35</v>
      </c>
      <c r="D977" t="s">
        <v>12</v>
      </c>
      <c r="E977" s="5">
        <v>45619</v>
      </c>
      <c r="F977">
        <v>24</v>
      </c>
      <c r="G977" t="s">
        <v>32</v>
      </c>
      <c r="H977" s="6"/>
    </row>
    <row r="978" spans="1:9" x14ac:dyDescent="0.3">
      <c r="A978" t="s">
        <v>1977</v>
      </c>
      <c r="B978" t="s">
        <v>1978</v>
      </c>
      <c r="C978" t="s">
        <v>11</v>
      </c>
      <c r="D978" t="s">
        <v>69</v>
      </c>
      <c r="E978" s="5">
        <v>45333</v>
      </c>
      <c r="F978">
        <v>10</v>
      </c>
      <c r="G978" t="s">
        <v>18</v>
      </c>
      <c r="H978" s="6">
        <v>45333</v>
      </c>
      <c r="I978">
        <v>4</v>
      </c>
    </row>
    <row r="979" spans="1:9" x14ac:dyDescent="0.3">
      <c r="A979" t="s">
        <v>1979</v>
      </c>
      <c r="B979" t="s">
        <v>1980</v>
      </c>
      <c r="C979" t="s">
        <v>35</v>
      </c>
      <c r="D979" t="s">
        <v>23</v>
      </c>
      <c r="E979" s="5">
        <v>45656</v>
      </c>
      <c r="F979">
        <v>7</v>
      </c>
      <c r="G979" t="s">
        <v>18</v>
      </c>
      <c r="H979" s="6">
        <v>45656</v>
      </c>
      <c r="I979">
        <v>4</v>
      </c>
    </row>
    <row r="980" spans="1:9" x14ac:dyDescent="0.3">
      <c r="A980" t="s">
        <v>1981</v>
      </c>
      <c r="B980" t="s">
        <v>1982</v>
      </c>
      <c r="C980" t="s">
        <v>28</v>
      </c>
      <c r="D980" t="s">
        <v>12</v>
      </c>
      <c r="E980" s="5">
        <v>45657</v>
      </c>
      <c r="F980">
        <v>50</v>
      </c>
      <c r="G980" t="s">
        <v>18</v>
      </c>
      <c r="H980" s="6">
        <v>45659</v>
      </c>
      <c r="I980">
        <v>5</v>
      </c>
    </row>
    <row r="981" spans="1:9" x14ac:dyDescent="0.3">
      <c r="A981" t="s">
        <v>1983</v>
      </c>
      <c r="B981" t="s">
        <v>1984</v>
      </c>
      <c r="C981" t="s">
        <v>52</v>
      </c>
      <c r="D981" t="s">
        <v>23</v>
      </c>
      <c r="E981" s="5">
        <v>45395</v>
      </c>
      <c r="F981">
        <v>16</v>
      </c>
      <c r="G981" t="s">
        <v>18</v>
      </c>
      <c r="H981" s="6">
        <v>45395</v>
      </c>
      <c r="I981">
        <v>3</v>
      </c>
    </row>
    <row r="982" spans="1:9" x14ac:dyDescent="0.3">
      <c r="A982" t="s">
        <v>1985</v>
      </c>
      <c r="B982" t="s">
        <v>1986</v>
      </c>
      <c r="C982" t="s">
        <v>16</v>
      </c>
      <c r="D982" t="s">
        <v>12</v>
      </c>
      <c r="E982" s="5">
        <v>45325</v>
      </c>
      <c r="F982">
        <v>16</v>
      </c>
      <c r="G982" t="s">
        <v>18</v>
      </c>
      <c r="H982" s="6">
        <v>45325</v>
      </c>
      <c r="I982">
        <v>3</v>
      </c>
    </row>
    <row r="983" spans="1:9" x14ac:dyDescent="0.3">
      <c r="A983" t="s">
        <v>1987</v>
      </c>
      <c r="B983" t="s">
        <v>1988</v>
      </c>
      <c r="C983" t="s">
        <v>78</v>
      </c>
      <c r="D983" t="s">
        <v>69</v>
      </c>
      <c r="E983" s="5">
        <v>45297</v>
      </c>
      <c r="F983">
        <v>15</v>
      </c>
      <c r="G983" t="s">
        <v>18</v>
      </c>
      <c r="H983" s="6">
        <v>45297</v>
      </c>
      <c r="I983">
        <v>5</v>
      </c>
    </row>
    <row r="984" spans="1:9" x14ac:dyDescent="0.3">
      <c r="A984" t="s">
        <v>1989</v>
      </c>
      <c r="B984" t="s">
        <v>1990</v>
      </c>
      <c r="C984" t="s">
        <v>28</v>
      </c>
      <c r="D984" t="s">
        <v>17</v>
      </c>
      <c r="E984" s="5">
        <v>45449</v>
      </c>
      <c r="F984">
        <v>39</v>
      </c>
      <c r="G984" t="s">
        <v>18</v>
      </c>
      <c r="H984" s="6">
        <v>45450</v>
      </c>
      <c r="I984">
        <v>2</v>
      </c>
    </row>
    <row r="985" spans="1:9" x14ac:dyDescent="0.3">
      <c r="A985" t="s">
        <v>1991</v>
      </c>
      <c r="B985" t="s">
        <v>1992</v>
      </c>
      <c r="C985" t="s">
        <v>16</v>
      </c>
      <c r="D985" t="s">
        <v>69</v>
      </c>
      <c r="E985" s="5">
        <v>45424</v>
      </c>
      <c r="F985">
        <v>6</v>
      </c>
      <c r="G985" t="s">
        <v>18</v>
      </c>
      <c r="H985" s="6">
        <v>45424</v>
      </c>
      <c r="I985">
        <v>5</v>
      </c>
    </row>
    <row r="986" spans="1:9" x14ac:dyDescent="0.3">
      <c r="A986" t="s">
        <v>1993</v>
      </c>
      <c r="B986" t="s">
        <v>1994</v>
      </c>
      <c r="C986" t="s">
        <v>52</v>
      </c>
      <c r="D986" t="s">
        <v>12</v>
      </c>
      <c r="E986" s="5">
        <v>45424</v>
      </c>
      <c r="F986">
        <v>5</v>
      </c>
      <c r="G986" t="s">
        <v>18</v>
      </c>
      <c r="H986" s="6">
        <v>45424</v>
      </c>
      <c r="I986">
        <v>5</v>
      </c>
    </row>
    <row r="987" spans="1:9" x14ac:dyDescent="0.3">
      <c r="A987" t="s">
        <v>1995</v>
      </c>
      <c r="B987" t="s">
        <v>1996</v>
      </c>
      <c r="C987" t="s">
        <v>41</v>
      </c>
      <c r="D987" t="s">
        <v>31</v>
      </c>
      <c r="E987" s="5">
        <v>45382</v>
      </c>
      <c r="F987">
        <v>9</v>
      </c>
      <c r="G987" t="s">
        <v>32</v>
      </c>
      <c r="H987" s="6"/>
    </row>
    <row r="988" spans="1:9" x14ac:dyDescent="0.3">
      <c r="A988" t="s">
        <v>1997</v>
      </c>
      <c r="B988" t="s">
        <v>1998</v>
      </c>
      <c r="C988" t="s">
        <v>78</v>
      </c>
      <c r="D988" t="s">
        <v>31</v>
      </c>
      <c r="E988" s="5">
        <v>45362</v>
      </c>
      <c r="F988">
        <v>8</v>
      </c>
      <c r="G988" t="s">
        <v>32</v>
      </c>
      <c r="H988" s="6"/>
    </row>
    <row r="989" spans="1:9" x14ac:dyDescent="0.3">
      <c r="A989" t="s">
        <v>1999</v>
      </c>
      <c r="B989" t="s">
        <v>2000</v>
      </c>
      <c r="C989" t="s">
        <v>52</v>
      </c>
      <c r="D989" t="s">
        <v>17</v>
      </c>
      <c r="E989" s="5">
        <v>45593</v>
      </c>
      <c r="F989">
        <v>8</v>
      </c>
      <c r="G989" t="s">
        <v>32</v>
      </c>
      <c r="H989" s="6"/>
    </row>
    <row r="990" spans="1:9" x14ac:dyDescent="0.3">
      <c r="A990" t="s">
        <v>2001</v>
      </c>
      <c r="B990" t="s">
        <v>2002</v>
      </c>
      <c r="C990" t="s">
        <v>38</v>
      </c>
      <c r="D990" t="s">
        <v>12</v>
      </c>
      <c r="E990" s="5">
        <v>45542</v>
      </c>
      <c r="F990">
        <v>42</v>
      </c>
      <c r="G990" t="s">
        <v>18</v>
      </c>
      <c r="H990" s="6">
        <v>45543</v>
      </c>
      <c r="I990">
        <v>2</v>
      </c>
    </row>
    <row r="991" spans="1:9" x14ac:dyDescent="0.3">
      <c r="A991" t="s">
        <v>2003</v>
      </c>
      <c r="B991" t="s">
        <v>2004</v>
      </c>
      <c r="C991" t="s">
        <v>41</v>
      </c>
      <c r="D991" t="s">
        <v>23</v>
      </c>
      <c r="E991" s="5">
        <v>45572</v>
      </c>
      <c r="F991">
        <v>7</v>
      </c>
      <c r="G991" t="s">
        <v>18</v>
      </c>
      <c r="H991" s="6">
        <v>45572</v>
      </c>
      <c r="I991">
        <v>4</v>
      </c>
    </row>
    <row r="992" spans="1:9" x14ac:dyDescent="0.3">
      <c r="A992" t="s">
        <v>2005</v>
      </c>
      <c r="B992" t="s">
        <v>2006</v>
      </c>
      <c r="C992" t="s">
        <v>28</v>
      </c>
      <c r="D992" t="s">
        <v>31</v>
      </c>
      <c r="E992" s="5">
        <v>45642</v>
      </c>
      <c r="F992">
        <v>56</v>
      </c>
      <c r="G992" t="s">
        <v>18</v>
      </c>
      <c r="H992" s="6">
        <v>45644</v>
      </c>
      <c r="I992">
        <v>1</v>
      </c>
    </row>
    <row r="993" spans="1:9" x14ac:dyDescent="0.3">
      <c r="A993" t="s">
        <v>2007</v>
      </c>
      <c r="B993" t="s">
        <v>2008</v>
      </c>
      <c r="C993" t="s">
        <v>41</v>
      </c>
      <c r="D993" t="s">
        <v>17</v>
      </c>
      <c r="E993" s="5">
        <v>45552</v>
      </c>
      <c r="F993">
        <v>6</v>
      </c>
      <c r="G993" t="s">
        <v>13</v>
      </c>
      <c r="H993" s="6"/>
    </row>
    <row r="994" spans="1:9" x14ac:dyDescent="0.3">
      <c r="A994" t="s">
        <v>2009</v>
      </c>
      <c r="B994" t="s">
        <v>2010</v>
      </c>
      <c r="C994" t="s">
        <v>16</v>
      </c>
      <c r="D994" t="s">
        <v>17</v>
      </c>
      <c r="E994" s="5">
        <v>45298</v>
      </c>
      <c r="F994">
        <v>8</v>
      </c>
      <c r="G994" t="s">
        <v>18</v>
      </c>
      <c r="H994" s="6">
        <v>45298</v>
      </c>
      <c r="I994">
        <v>4</v>
      </c>
    </row>
    <row r="995" spans="1:9" x14ac:dyDescent="0.3">
      <c r="A995" t="s">
        <v>2011</v>
      </c>
      <c r="B995" t="s">
        <v>2012</v>
      </c>
      <c r="C995" t="s">
        <v>11</v>
      </c>
      <c r="D995" t="s">
        <v>31</v>
      </c>
      <c r="E995" s="5">
        <v>45491</v>
      </c>
      <c r="F995">
        <v>41</v>
      </c>
      <c r="G995" t="s">
        <v>13</v>
      </c>
      <c r="H995" s="6"/>
    </row>
    <row r="996" spans="1:9" x14ac:dyDescent="0.3">
      <c r="A996" t="s">
        <v>2013</v>
      </c>
      <c r="B996" t="s">
        <v>2014</v>
      </c>
      <c r="C996" t="s">
        <v>28</v>
      </c>
      <c r="D996" t="s">
        <v>31</v>
      </c>
      <c r="E996" s="5">
        <v>45545</v>
      </c>
      <c r="F996">
        <v>31</v>
      </c>
      <c r="G996" t="s">
        <v>13</v>
      </c>
      <c r="H996" s="6"/>
    </row>
    <row r="997" spans="1:9" x14ac:dyDescent="0.3">
      <c r="A997" t="s">
        <v>2015</v>
      </c>
      <c r="B997" t="s">
        <v>2016</v>
      </c>
      <c r="C997" t="s">
        <v>28</v>
      </c>
      <c r="D997" t="s">
        <v>31</v>
      </c>
      <c r="E997" s="5">
        <v>45377</v>
      </c>
      <c r="F997">
        <v>90</v>
      </c>
      <c r="G997" t="s">
        <v>13</v>
      </c>
      <c r="H997" s="6"/>
    </row>
    <row r="998" spans="1:9" x14ac:dyDescent="0.3">
      <c r="A998" t="s">
        <v>2017</v>
      </c>
      <c r="B998" t="s">
        <v>2018</v>
      </c>
      <c r="C998" t="s">
        <v>52</v>
      </c>
      <c r="D998" t="s">
        <v>17</v>
      </c>
      <c r="E998" s="5">
        <v>45523</v>
      </c>
      <c r="F998">
        <v>17</v>
      </c>
      <c r="G998" t="s">
        <v>18</v>
      </c>
      <c r="H998" s="6">
        <v>45523</v>
      </c>
      <c r="I998">
        <v>3</v>
      </c>
    </row>
    <row r="999" spans="1:9" x14ac:dyDescent="0.3">
      <c r="A999" t="s">
        <v>2019</v>
      </c>
      <c r="B999" t="s">
        <v>2020</v>
      </c>
      <c r="C999" t="s">
        <v>16</v>
      </c>
      <c r="D999" t="s">
        <v>23</v>
      </c>
      <c r="E999" s="5">
        <v>45313</v>
      </c>
      <c r="F999">
        <v>11</v>
      </c>
      <c r="G999" t="s">
        <v>13</v>
      </c>
      <c r="H999" s="6"/>
    </row>
    <row r="1000" spans="1:9" x14ac:dyDescent="0.3">
      <c r="A1000" t="s">
        <v>2021</v>
      </c>
      <c r="B1000" t="s">
        <v>2022</v>
      </c>
      <c r="C1000" t="s">
        <v>78</v>
      </c>
      <c r="D1000" t="s">
        <v>12</v>
      </c>
      <c r="E1000" s="5">
        <v>45359</v>
      </c>
      <c r="F1000">
        <v>24</v>
      </c>
      <c r="G1000" t="s">
        <v>32</v>
      </c>
      <c r="H1000" s="6"/>
    </row>
    <row r="1001" spans="1:9" x14ac:dyDescent="0.3">
      <c r="A1001" t="s">
        <v>2023</v>
      </c>
      <c r="B1001" t="s">
        <v>2024</v>
      </c>
      <c r="C1001" t="s">
        <v>52</v>
      </c>
      <c r="D1001" t="s">
        <v>31</v>
      </c>
      <c r="E1001" s="5">
        <v>45441</v>
      </c>
      <c r="F1001">
        <v>22</v>
      </c>
      <c r="G1001" t="s">
        <v>13</v>
      </c>
      <c r="H1001" s="6"/>
    </row>
    <row r="1002" spans="1:9" x14ac:dyDescent="0.3">
      <c r="A1002" t="s">
        <v>2025</v>
      </c>
      <c r="B1002" t="s">
        <v>2026</v>
      </c>
      <c r="C1002" t="s">
        <v>11</v>
      </c>
      <c r="D1002" t="s">
        <v>31</v>
      </c>
      <c r="E1002" s="5">
        <v>45337</v>
      </c>
      <c r="F1002">
        <v>4</v>
      </c>
      <c r="G1002" t="s">
        <v>32</v>
      </c>
      <c r="H1002" s="6"/>
    </row>
    <row r="1003" spans="1:9" x14ac:dyDescent="0.3">
      <c r="A1003" t="s">
        <v>2027</v>
      </c>
      <c r="B1003" t="s">
        <v>2028</v>
      </c>
      <c r="C1003" t="s">
        <v>16</v>
      </c>
      <c r="D1003" t="s">
        <v>17</v>
      </c>
      <c r="E1003" s="5">
        <v>45497</v>
      </c>
      <c r="F1003">
        <v>27</v>
      </c>
      <c r="G1003" t="s">
        <v>18</v>
      </c>
      <c r="H1003" s="6">
        <v>45498</v>
      </c>
      <c r="I1003">
        <v>2</v>
      </c>
    </row>
    <row r="1004" spans="1:9" x14ac:dyDescent="0.3">
      <c r="A1004" t="s">
        <v>2029</v>
      </c>
      <c r="B1004" t="s">
        <v>2030</v>
      </c>
      <c r="C1004" t="s">
        <v>28</v>
      </c>
      <c r="D1004" t="s">
        <v>12</v>
      </c>
      <c r="E1004" s="5">
        <v>45640</v>
      </c>
      <c r="F1004">
        <v>51</v>
      </c>
      <c r="G1004" t="s">
        <v>32</v>
      </c>
      <c r="H1004" s="6"/>
    </row>
    <row r="1005" spans="1:9" x14ac:dyDescent="0.3">
      <c r="A1005" t="s">
        <v>2031</v>
      </c>
      <c r="B1005" t="s">
        <v>2032</v>
      </c>
      <c r="C1005" t="s">
        <v>41</v>
      </c>
      <c r="D1005" t="s">
        <v>23</v>
      </c>
      <c r="E1005" s="5">
        <v>45563</v>
      </c>
      <c r="F1005">
        <v>1</v>
      </c>
      <c r="G1005" t="s">
        <v>18</v>
      </c>
      <c r="H1005" s="6">
        <v>45563</v>
      </c>
      <c r="I1005">
        <v>5</v>
      </c>
    </row>
    <row r="1006" spans="1:9" x14ac:dyDescent="0.3">
      <c r="A1006" t="s">
        <v>2033</v>
      </c>
      <c r="B1006" t="s">
        <v>2034</v>
      </c>
      <c r="C1006" t="s">
        <v>11</v>
      </c>
      <c r="D1006" t="s">
        <v>17</v>
      </c>
      <c r="E1006" s="5">
        <v>45430</v>
      </c>
      <c r="F1006">
        <v>27</v>
      </c>
      <c r="G1006" t="s">
        <v>18</v>
      </c>
      <c r="H1006" s="6">
        <v>45431</v>
      </c>
      <c r="I1006">
        <v>5</v>
      </c>
    </row>
    <row r="1007" spans="1:9" x14ac:dyDescent="0.3">
      <c r="A1007" t="s">
        <v>2035</v>
      </c>
      <c r="B1007" t="s">
        <v>2036</v>
      </c>
      <c r="C1007" t="s">
        <v>52</v>
      </c>
      <c r="D1007" t="s">
        <v>17</v>
      </c>
      <c r="E1007" s="5">
        <v>45642</v>
      </c>
      <c r="F1007">
        <v>23</v>
      </c>
      <c r="G1007" t="s">
        <v>18</v>
      </c>
      <c r="H1007" s="6">
        <v>45642</v>
      </c>
      <c r="I1007">
        <v>3</v>
      </c>
    </row>
    <row r="1008" spans="1:9" x14ac:dyDescent="0.3">
      <c r="A1008" t="s">
        <v>2037</v>
      </c>
      <c r="B1008" t="s">
        <v>2038</v>
      </c>
      <c r="C1008" t="s">
        <v>11</v>
      </c>
      <c r="D1008" t="s">
        <v>12</v>
      </c>
      <c r="E1008" s="5">
        <v>45299</v>
      </c>
      <c r="F1008">
        <v>45</v>
      </c>
      <c r="G1008" t="s">
        <v>18</v>
      </c>
      <c r="H1008" s="6">
        <v>45300</v>
      </c>
      <c r="I1008">
        <v>5</v>
      </c>
    </row>
    <row r="1009" spans="1:9" x14ac:dyDescent="0.3">
      <c r="A1009" t="s">
        <v>2039</v>
      </c>
      <c r="B1009" t="s">
        <v>2040</v>
      </c>
      <c r="C1009" t="s">
        <v>35</v>
      </c>
      <c r="D1009" t="s">
        <v>69</v>
      </c>
      <c r="E1009" s="5">
        <v>45487</v>
      </c>
      <c r="F1009">
        <v>67</v>
      </c>
      <c r="G1009" t="s">
        <v>18</v>
      </c>
      <c r="H1009" s="6">
        <v>45489</v>
      </c>
      <c r="I1009">
        <v>1</v>
      </c>
    </row>
    <row r="1010" spans="1:9" x14ac:dyDescent="0.3">
      <c r="A1010" t="s">
        <v>2041</v>
      </c>
      <c r="B1010" t="s">
        <v>2042</v>
      </c>
      <c r="C1010" t="s">
        <v>52</v>
      </c>
      <c r="D1010" t="s">
        <v>17</v>
      </c>
      <c r="E1010" s="5">
        <v>45553</v>
      </c>
      <c r="F1010">
        <v>10</v>
      </c>
      <c r="G1010" t="s">
        <v>18</v>
      </c>
      <c r="H1010" s="6">
        <v>45553</v>
      </c>
      <c r="I1010">
        <v>4</v>
      </c>
    </row>
    <row r="1011" spans="1:9" x14ac:dyDescent="0.3">
      <c r="A1011" t="s">
        <v>2043</v>
      </c>
      <c r="B1011" t="s">
        <v>2044</v>
      </c>
      <c r="C1011" t="s">
        <v>11</v>
      </c>
      <c r="D1011" t="s">
        <v>69</v>
      </c>
      <c r="E1011" s="5">
        <v>45416</v>
      </c>
      <c r="F1011">
        <v>42</v>
      </c>
      <c r="G1011" t="s">
        <v>13</v>
      </c>
      <c r="H1011" s="6"/>
    </row>
    <row r="1012" spans="1:9" x14ac:dyDescent="0.3">
      <c r="A1012" t="s">
        <v>2045</v>
      </c>
      <c r="B1012" t="s">
        <v>2046</v>
      </c>
      <c r="C1012" t="s">
        <v>11</v>
      </c>
      <c r="D1012" t="s">
        <v>69</v>
      </c>
      <c r="E1012" s="5">
        <v>45556</v>
      </c>
      <c r="F1012">
        <v>35</v>
      </c>
      <c r="G1012" t="s">
        <v>32</v>
      </c>
      <c r="H1012" s="6"/>
    </row>
    <row r="1013" spans="1:9" x14ac:dyDescent="0.3">
      <c r="A1013" t="s">
        <v>2047</v>
      </c>
      <c r="B1013" t="s">
        <v>2048</v>
      </c>
      <c r="C1013" t="s">
        <v>52</v>
      </c>
      <c r="D1013" t="s">
        <v>69</v>
      </c>
      <c r="E1013" s="5">
        <v>45390</v>
      </c>
      <c r="F1013">
        <v>7</v>
      </c>
      <c r="G1013" t="s">
        <v>13</v>
      </c>
      <c r="H1013" s="6"/>
    </row>
    <row r="1014" spans="1:9" x14ac:dyDescent="0.3">
      <c r="A1014" t="s">
        <v>2049</v>
      </c>
      <c r="B1014" t="s">
        <v>2050</v>
      </c>
      <c r="C1014" t="s">
        <v>78</v>
      </c>
      <c r="D1014" t="s">
        <v>17</v>
      </c>
      <c r="E1014" s="5">
        <v>45568</v>
      </c>
      <c r="F1014">
        <v>24</v>
      </c>
      <c r="G1014" t="s">
        <v>13</v>
      </c>
      <c r="H1014" s="6"/>
    </row>
    <row r="1015" spans="1:9" x14ac:dyDescent="0.3">
      <c r="A1015" t="s">
        <v>2051</v>
      </c>
      <c r="B1015" t="s">
        <v>2052</v>
      </c>
      <c r="C1015" t="s">
        <v>52</v>
      </c>
      <c r="D1015" t="s">
        <v>17</v>
      </c>
      <c r="E1015" s="5">
        <v>45610</v>
      </c>
      <c r="F1015">
        <v>22</v>
      </c>
      <c r="G1015" t="s">
        <v>18</v>
      </c>
      <c r="H1015" s="6">
        <v>45610</v>
      </c>
      <c r="I1015">
        <v>3</v>
      </c>
    </row>
    <row r="1016" spans="1:9" x14ac:dyDescent="0.3">
      <c r="A1016" t="s">
        <v>2053</v>
      </c>
      <c r="B1016" t="s">
        <v>2054</v>
      </c>
      <c r="C1016" t="s">
        <v>78</v>
      </c>
      <c r="D1016" t="s">
        <v>69</v>
      </c>
      <c r="E1016" s="5">
        <v>45383</v>
      </c>
      <c r="F1016">
        <v>11</v>
      </c>
      <c r="G1016" t="s">
        <v>13</v>
      </c>
      <c r="H1016" s="6"/>
    </row>
    <row r="1017" spans="1:9" x14ac:dyDescent="0.3">
      <c r="A1017" t="s">
        <v>2055</v>
      </c>
      <c r="B1017" t="s">
        <v>2056</v>
      </c>
      <c r="C1017" t="s">
        <v>16</v>
      </c>
      <c r="D1017" t="s">
        <v>12</v>
      </c>
      <c r="E1017" s="5">
        <v>45390</v>
      </c>
      <c r="F1017">
        <v>23</v>
      </c>
      <c r="G1017" t="s">
        <v>18</v>
      </c>
      <c r="H1017" s="6">
        <v>45390</v>
      </c>
      <c r="I1017">
        <v>3</v>
      </c>
    </row>
    <row r="1018" spans="1:9" x14ac:dyDescent="0.3">
      <c r="A1018" t="s">
        <v>2057</v>
      </c>
      <c r="B1018" t="s">
        <v>2058</v>
      </c>
      <c r="C1018" t="s">
        <v>52</v>
      </c>
      <c r="D1018" t="s">
        <v>69</v>
      </c>
      <c r="E1018" s="5">
        <v>45534</v>
      </c>
      <c r="F1018">
        <v>24</v>
      </c>
      <c r="G1018" t="s">
        <v>18</v>
      </c>
      <c r="H1018" s="6">
        <v>45535</v>
      </c>
      <c r="I1018">
        <v>5</v>
      </c>
    </row>
    <row r="1019" spans="1:9" x14ac:dyDescent="0.3">
      <c r="A1019" t="s">
        <v>2059</v>
      </c>
      <c r="B1019" t="s">
        <v>2060</v>
      </c>
      <c r="C1019" t="s">
        <v>38</v>
      </c>
      <c r="D1019" t="s">
        <v>69</v>
      </c>
      <c r="E1019" s="5">
        <v>45474</v>
      </c>
      <c r="F1019">
        <v>13</v>
      </c>
      <c r="G1019" t="s">
        <v>18</v>
      </c>
      <c r="H1019" s="6">
        <v>45474</v>
      </c>
      <c r="I1019">
        <v>3</v>
      </c>
    </row>
    <row r="1020" spans="1:9" x14ac:dyDescent="0.3">
      <c r="A1020" t="s">
        <v>2061</v>
      </c>
      <c r="B1020" t="s">
        <v>2062</v>
      </c>
      <c r="C1020" t="s">
        <v>41</v>
      </c>
      <c r="D1020" t="s">
        <v>23</v>
      </c>
      <c r="E1020" s="5">
        <v>45608</v>
      </c>
      <c r="F1020">
        <v>11</v>
      </c>
      <c r="G1020" t="s">
        <v>32</v>
      </c>
      <c r="H1020" s="6"/>
    </row>
    <row r="1021" spans="1:9" x14ac:dyDescent="0.3">
      <c r="A1021" t="s">
        <v>2063</v>
      </c>
      <c r="B1021" t="s">
        <v>2064</v>
      </c>
      <c r="C1021" t="s">
        <v>41</v>
      </c>
      <c r="D1021" t="s">
        <v>12</v>
      </c>
      <c r="E1021" s="5">
        <v>45468</v>
      </c>
      <c r="F1021">
        <v>2</v>
      </c>
      <c r="G1021" t="s">
        <v>18</v>
      </c>
      <c r="H1021" s="6">
        <v>45468</v>
      </c>
      <c r="I1021">
        <v>5</v>
      </c>
    </row>
    <row r="1022" spans="1:9" x14ac:dyDescent="0.3">
      <c r="A1022" t="s">
        <v>2065</v>
      </c>
      <c r="B1022" t="s">
        <v>2066</v>
      </c>
      <c r="C1022" t="s">
        <v>11</v>
      </c>
      <c r="D1022" t="s">
        <v>12</v>
      </c>
      <c r="E1022" s="5">
        <v>45362</v>
      </c>
      <c r="F1022">
        <v>43</v>
      </c>
      <c r="G1022" t="s">
        <v>18</v>
      </c>
      <c r="H1022" s="6">
        <v>45363</v>
      </c>
      <c r="I1022">
        <v>5</v>
      </c>
    </row>
    <row r="1023" spans="1:9" x14ac:dyDescent="0.3">
      <c r="A1023" t="s">
        <v>2067</v>
      </c>
      <c r="B1023" t="s">
        <v>2068</v>
      </c>
      <c r="C1023" t="s">
        <v>28</v>
      </c>
      <c r="D1023" t="s">
        <v>23</v>
      </c>
      <c r="E1023" s="5">
        <v>45512</v>
      </c>
      <c r="F1023">
        <v>51</v>
      </c>
      <c r="G1023" t="s">
        <v>18</v>
      </c>
      <c r="H1023" s="6">
        <v>45514</v>
      </c>
      <c r="I1023">
        <v>1</v>
      </c>
    </row>
    <row r="1024" spans="1:9" x14ac:dyDescent="0.3">
      <c r="A1024" t="s">
        <v>2069</v>
      </c>
      <c r="B1024" t="s">
        <v>2070</v>
      </c>
      <c r="C1024" t="s">
        <v>52</v>
      </c>
      <c r="D1024" t="s">
        <v>12</v>
      </c>
      <c r="E1024" s="5">
        <v>45555</v>
      </c>
      <c r="F1024">
        <v>18</v>
      </c>
      <c r="G1024" t="s">
        <v>18</v>
      </c>
      <c r="H1024" s="6">
        <v>45555</v>
      </c>
      <c r="I1024">
        <v>3</v>
      </c>
    </row>
    <row r="1025" spans="1:9" x14ac:dyDescent="0.3">
      <c r="A1025" t="s">
        <v>2071</v>
      </c>
      <c r="B1025" t="s">
        <v>2072</v>
      </c>
      <c r="C1025" t="s">
        <v>52</v>
      </c>
      <c r="D1025" t="s">
        <v>69</v>
      </c>
      <c r="E1025" s="5">
        <v>45352</v>
      </c>
      <c r="F1025">
        <v>17</v>
      </c>
      <c r="G1025" t="s">
        <v>32</v>
      </c>
      <c r="H1025" s="6"/>
    </row>
    <row r="1026" spans="1:9" x14ac:dyDescent="0.3">
      <c r="A1026" t="s">
        <v>2073</v>
      </c>
      <c r="B1026" t="s">
        <v>2074</v>
      </c>
      <c r="C1026" t="s">
        <v>52</v>
      </c>
      <c r="D1026" t="s">
        <v>17</v>
      </c>
      <c r="E1026" s="5">
        <v>45450</v>
      </c>
      <c r="F1026">
        <v>5</v>
      </c>
      <c r="G1026" t="s">
        <v>13</v>
      </c>
      <c r="H1026" s="6"/>
    </row>
    <row r="1027" spans="1:9" x14ac:dyDescent="0.3">
      <c r="A1027" t="s">
        <v>2075</v>
      </c>
      <c r="B1027" t="s">
        <v>2076</v>
      </c>
      <c r="C1027" t="s">
        <v>78</v>
      </c>
      <c r="D1027" t="s">
        <v>23</v>
      </c>
      <c r="E1027" s="5">
        <v>45549</v>
      </c>
      <c r="F1027">
        <v>12</v>
      </c>
      <c r="G1027" t="s">
        <v>18</v>
      </c>
      <c r="H1027" s="6">
        <v>45549</v>
      </c>
      <c r="I1027">
        <v>5</v>
      </c>
    </row>
    <row r="1028" spans="1:9" x14ac:dyDescent="0.3">
      <c r="A1028" t="s">
        <v>2077</v>
      </c>
      <c r="B1028" t="s">
        <v>2078</v>
      </c>
      <c r="C1028" t="s">
        <v>78</v>
      </c>
      <c r="D1028" t="s">
        <v>17</v>
      </c>
      <c r="E1028" s="5">
        <v>45486</v>
      </c>
      <c r="F1028">
        <v>18</v>
      </c>
      <c r="G1028" t="s">
        <v>32</v>
      </c>
      <c r="H1028" s="6"/>
    </row>
    <row r="1029" spans="1:9" x14ac:dyDescent="0.3">
      <c r="A1029" t="s">
        <v>2079</v>
      </c>
      <c r="B1029" t="s">
        <v>2080</v>
      </c>
      <c r="C1029" t="s">
        <v>38</v>
      </c>
      <c r="D1029" t="s">
        <v>31</v>
      </c>
      <c r="E1029" s="5">
        <v>45544</v>
      </c>
      <c r="F1029">
        <v>70</v>
      </c>
      <c r="G1029" t="s">
        <v>18</v>
      </c>
      <c r="H1029" s="6">
        <v>45546</v>
      </c>
      <c r="I1029">
        <v>1</v>
      </c>
    </row>
    <row r="1030" spans="1:9" x14ac:dyDescent="0.3">
      <c r="A1030" t="s">
        <v>2081</v>
      </c>
      <c r="B1030" t="s">
        <v>2082</v>
      </c>
      <c r="C1030" t="s">
        <v>38</v>
      </c>
      <c r="D1030" t="s">
        <v>31</v>
      </c>
      <c r="E1030" s="5">
        <v>45301</v>
      </c>
      <c r="F1030">
        <v>51</v>
      </c>
      <c r="G1030" t="s">
        <v>13</v>
      </c>
      <c r="H1030" s="6"/>
    </row>
    <row r="1031" spans="1:9" x14ac:dyDescent="0.3">
      <c r="A1031" t="s">
        <v>2083</v>
      </c>
      <c r="B1031" t="s">
        <v>2084</v>
      </c>
      <c r="C1031" t="s">
        <v>38</v>
      </c>
      <c r="D1031" t="s">
        <v>17</v>
      </c>
      <c r="E1031" s="5">
        <v>45369</v>
      </c>
      <c r="F1031">
        <v>53</v>
      </c>
      <c r="G1031" t="s">
        <v>13</v>
      </c>
      <c r="H1031" s="6"/>
    </row>
    <row r="1032" spans="1:9" x14ac:dyDescent="0.3">
      <c r="A1032" t="s">
        <v>2085</v>
      </c>
      <c r="B1032" t="s">
        <v>2086</v>
      </c>
      <c r="C1032" t="s">
        <v>28</v>
      </c>
      <c r="D1032" t="s">
        <v>12</v>
      </c>
      <c r="E1032" s="5">
        <v>45334</v>
      </c>
      <c r="F1032">
        <v>96</v>
      </c>
      <c r="G1032" t="s">
        <v>32</v>
      </c>
      <c r="H1032" s="6"/>
    </row>
    <row r="1033" spans="1:9" x14ac:dyDescent="0.3">
      <c r="A1033" t="s">
        <v>2087</v>
      </c>
      <c r="B1033" t="s">
        <v>2088</v>
      </c>
      <c r="C1033" t="s">
        <v>41</v>
      </c>
      <c r="D1033" t="s">
        <v>17</v>
      </c>
      <c r="E1033" s="5">
        <v>45615</v>
      </c>
      <c r="F1033">
        <v>1</v>
      </c>
      <c r="G1033" t="s">
        <v>18</v>
      </c>
      <c r="H1033" s="6">
        <v>45615</v>
      </c>
      <c r="I1033">
        <v>5</v>
      </c>
    </row>
    <row r="1034" spans="1:9" x14ac:dyDescent="0.3">
      <c r="A1034" t="s">
        <v>2089</v>
      </c>
      <c r="B1034" t="s">
        <v>2090</v>
      </c>
      <c r="C1034" t="s">
        <v>35</v>
      </c>
      <c r="D1034" t="s">
        <v>31</v>
      </c>
      <c r="E1034" s="5">
        <v>45459</v>
      </c>
      <c r="F1034">
        <v>13</v>
      </c>
      <c r="G1034" t="s">
        <v>32</v>
      </c>
      <c r="H1034" s="6"/>
    </row>
    <row r="1035" spans="1:9" x14ac:dyDescent="0.3">
      <c r="A1035" t="s">
        <v>2091</v>
      </c>
      <c r="B1035" t="s">
        <v>2092</v>
      </c>
      <c r="C1035" t="s">
        <v>35</v>
      </c>
      <c r="D1035" t="s">
        <v>12</v>
      </c>
      <c r="E1035" s="5">
        <v>45490</v>
      </c>
      <c r="F1035">
        <v>43</v>
      </c>
      <c r="G1035" t="s">
        <v>13</v>
      </c>
      <c r="H1035" s="6"/>
    </row>
    <row r="1036" spans="1:9" x14ac:dyDescent="0.3">
      <c r="A1036" t="s">
        <v>2093</v>
      </c>
      <c r="B1036" t="s">
        <v>2094</v>
      </c>
      <c r="C1036" t="s">
        <v>38</v>
      </c>
      <c r="D1036" t="s">
        <v>23</v>
      </c>
      <c r="E1036" s="5">
        <v>45606</v>
      </c>
      <c r="F1036">
        <v>65</v>
      </c>
      <c r="G1036" t="s">
        <v>32</v>
      </c>
      <c r="H1036" s="6"/>
    </row>
    <row r="1037" spans="1:9" x14ac:dyDescent="0.3">
      <c r="A1037" t="s">
        <v>2095</v>
      </c>
      <c r="B1037" t="s">
        <v>2096</v>
      </c>
      <c r="C1037" t="s">
        <v>52</v>
      </c>
      <c r="D1037" t="s">
        <v>23</v>
      </c>
      <c r="E1037" s="5">
        <v>45380</v>
      </c>
      <c r="F1037">
        <v>17</v>
      </c>
      <c r="G1037" t="s">
        <v>18</v>
      </c>
      <c r="H1037" s="6">
        <v>45380</v>
      </c>
      <c r="I1037">
        <v>3</v>
      </c>
    </row>
    <row r="1038" spans="1:9" x14ac:dyDescent="0.3">
      <c r="A1038" t="s">
        <v>2097</v>
      </c>
      <c r="B1038" t="s">
        <v>2098</v>
      </c>
      <c r="C1038" t="s">
        <v>35</v>
      </c>
      <c r="D1038" t="s">
        <v>69</v>
      </c>
      <c r="E1038" s="5">
        <v>45357</v>
      </c>
      <c r="F1038">
        <v>52</v>
      </c>
      <c r="G1038" t="s">
        <v>13</v>
      </c>
      <c r="H1038" s="6"/>
    </row>
    <row r="1039" spans="1:9" x14ac:dyDescent="0.3">
      <c r="A1039" t="s">
        <v>2099</v>
      </c>
      <c r="B1039" t="s">
        <v>2100</v>
      </c>
      <c r="C1039" t="s">
        <v>28</v>
      </c>
      <c r="D1039" t="s">
        <v>69</v>
      </c>
      <c r="E1039" s="5">
        <v>45481</v>
      </c>
      <c r="F1039">
        <v>43</v>
      </c>
      <c r="G1039" t="s">
        <v>18</v>
      </c>
      <c r="H1039" s="6">
        <v>45482</v>
      </c>
      <c r="I1039">
        <v>2</v>
      </c>
    </row>
    <row r="1040" spans="1:9" x14ac:dyDescent="0.3">
      <c r="A1040" t="s">
        <v>2101</v>
      </c>
      <c r="B1040" t="s">
        <v>2102</v>
      </c>
      <c r="C1040" t="s">
        <v>38</v>
      </c>
      <c r="D1040" t="s">
        <v>69</v>
      </c>
      <c r="E1040" s="5">
        <v>45455</v>
      </c>
      <c r="F1040">
        <v>39</v>
      </c>
      <c r="G1040" t="s">
        <v>18</v>
      </c>
      <c r="H1040" s="6">
        <v>45456</v>
      </c>
      <c r="I1040">
        <v>2</v>
      </c>
    </row>
    <row r="1041" spans="1:9" x14ac:dyDescent="0.3">
      <c r="A1041" t="s">
        <v>2103</v>
      </c>
      <c r="B1041" t="s">
        <v>2104</v>
      </c>
      <c r="C1041" t="s">
        <v>38</v>
      </c>
      <c r="D1041" t="s">
        <v>31</v>
      </c>
      <c r="E1041" s="5">
        <v>45531</v>
      </c>
      <c r="F1041">
        <v>36</v>
      </c>
      <c r="G1041" t="s">
        <v>18</v>
      </c>
      <c r="H1041" s="6">
        <v>45532</v>
      </c>
      <c r="I1041">
        <v>2</v>
      </c>
    </row>
    <row r="1042" spans="1:9" x14ac:dyDescent="0.3">
      <c r="A1042" t="s">
        <v>2105</v>
      </c>
      <c r="B1042" t="s">
        <v>2106</v>
      </c>
      <c r="C1042" t="s">
        <v>78</v>
      </c>
      <c r="D1042" t="s">
        <v>17</v>
      </c>
      <c r="E1042" s="5">
        <v>45292</v>
      </c>
      <c r="F1042">
        <v>20</v>
      </c>
      <c r="G1042" t="s">
        <v>18</v>
      </c>
      <c r="H1042" s="6">
        <v>45292</v>
      </c>
      <c r="I1042">
        <v>3</v>
      </c>
    </row>
    <row r="1043" spans="1:9" x14ac:dyDescent="0.3">
      <c r="A1043" t="s">
        <v>2107</v>
      </c>
      <c r="B1043" t="s">
        <v>2108</v>
      </c>
      <c r="C1043" t="s">
        <v>78</v>
      </c>
      <c r="D1043" t="s">
        <v>23</v>
      </c>
      <c r="E1043" s="5">
        <v>45310</v>
      </c>
      <c r="F1043">
        <v>15</v>
      </c>
      <c r="G1043" t="s">
        <v>32</v>
      </c>
      <c r="H1043" s="6"/>
    </row>
    <row r="1044" spans="1:9" x14ac:dyDescent="0.3">
      <c r="A1044" t="s">
        <v>2109</v>
      </c>
      <c r="B1044" t="s">
        <v>2110</v>
      </c>
      <c r="C1044" t="s">
        <v>11</v>
      </c>
      <c r="D1044" t="s">
        <v>31</v>
      </c>
      <c r="E1044" s="5">
        <v>45357</v>
      </c>
      <c r="F1044">
        <v>9</v>
      </c>
      <c r="G1044" t="s">
        <v>18</v>
      </c>
      <c r="H1044" s="6">
        <v>45357</v>
      </c>
      <c r="I1044">
        <v>4</v>
      </c>
    </row>
    <row r="1045" spans="1:9" x14ac:dyDescent="0.3">
      <c r="A1045" t="s">
        <v>2111</v>
      </c>
      <c r="B1045" t="s">
        <v>2112</v>
      </c>
      <c r="C1045" t="s">
        <v>78</v>
      </c>
      <c r="D1045" t="s">
        <v>17</v>
      </c>
      <c r="E1045" s="5">
        <v>45526</v>
      </c>
      <c r="F1045">
        <v>21</v>
      </c>
      <c r="G1045" t="s">
        <v>18</v>
      </c>
      <c r="H1045" s="6">
        <v>45526</v>
      </c>
      <c r="I1045">
        <v>3</v>
      </c>
    </row>
    <row r="1046" spans="1:9" x14ac:dyDescent="0.3">
      <c r="A1046" t="s">
        <v>2113</v>
      </c>
      <c r="B1046" t="s">
        <v>2114</v>
      </c>
      <c r="C1046" t="s">
        <v>52</v>
      </c>
      <c r="D1046" t="s">
        <v>17</v>
      </c>
      <c r="E1046" s="5">
        <v>45600</v>
      </c>
      <c r="F1046">
        <v>24</v>
      </c>
      <c r="G1046" t="s">
        <v>18</v>
      </c>
      <c r="H1046" s="6">
        <v>45601</v>
      </c>
      <c r="I1046">
        <v>3</v>
      </c>
    </row>
    <row r="1047" spans="1:9" x14ac:dyDescent="0.3">
      <c r="A1047" t="s">
        <v>2115</v>
      </c>
      <c r="B1047" t="s">
        <v>2116</v>
      </c>
      <c r="C1047" t="s">
        <v>52</v>
      </c>
      <c r="D1047" t="s">
        <v>12</v>
      </c>
      <c r="E1047" s="5">
        <v>45302</v>
      </c>
      <c r="F1047">
        <v>17</v>
      </c>
      <c r="G1047" t="s">
        <v>32</v>
      </c>
      <c r="H1047" s="6"/>
    </row>
    <row r="1048" spans="1:9" x14ac:dyDescent="0.3">
      <c r="A1048" t="s">
        <v>2117</v>
      </c>
      <c r="B1048" t="s">
        <v>2118</v>
      </c>
      <c r="C1048" t="s">
        <v>52</v>
      </c>
      <c r="D1048" t="s">
        <v>12</v>
      </c>
      <c r="E1048" s="5">
        <v>45350</v>
      </c>
      <c r="F1048">
        <v>20</v>
      </c>
      <c r="G1048" t="s">
        <v>18</v>
      </c>
      <c r="H1048" s="6">
        <v>45350</v>
      </c>
      <c r="I1048">
        <v>3</v>
      </c>
    </row>
    <row r="1049" spans="1:9" x14ac:dyDescent="0.3">
      <c r="A1049" t="s">
        <v>2119</v>
      </c>
      <c r="B1049" t="s">
        <v>2120</v>
      </c>
      <c r="C1049" t="s">
        <v>41</v>
      </c>
      <c r="D1049" t="s">
        <v>23</v>
      </c>
      <c r="E1049" s="5">
        <v>45453</v>
      </c>
      <c r="F1049">
        <v>9</v>
      </c>
      <c r="G1049" t="s">
        <v>18</v>
      </c>
      <c r="H1049" s="6">
        <v>45453</v>
      </c>
      <c r="I1049">
        <v>4</v>
      </c>
    </row>
    <row r="1050" spans="1:9" x14ac:dyDescent="0.3">
      <c r="A1050" t="s">
        <v>2121</v>
      </c>
      <c r="B1050" t="s">
        <v>2122</v>
      </c>
      <c r="C1050" t="s">
        <v>78</v>
      </c>
      <c r="D1050" t="s">
        <v>23</v>
      </c>
      <c r="E1050" s="5">
        <v>45304</v>
      </c>
      <c r="F1050">
        <v>17</v>
      </c>
      <c r="G1050" t="s">
        <v>18</v>
      </c>
      <c r="H1050" s="6">
        <v>45304</v>
      </c>
      <c r="I1050">
        <v>3</v>
      </c>
    </row>
    <row r="1051" spans="1:9" x14ac:dyDescent="0.3">
      <c r="A1051" t="s">
        <v>2123</v>
      </c>
      <c r="B1051" t="s">
        <v>2124</v>
      </c>
      <c r="C1051" t="s">
        <v>41</v>
      </c>
      <c r="D1051" t="s">
        <v>17</v>
      </c>
      <c r="E1051" s="5">
        <v>45402</v>
      </c>
      <c r="F1051">
        <v>5</v>
      </c>
      <c r="G1051" t="s">
        <v>18</v>
      </c>
      <c r="H1051" s="6">
        <v>45402</v>
      </c>
      <c r="I1051">
        <v>5</v>
      </c>
    </row>
    <row r="1052" spans="1:9" x14ac:dyDescent="0.3">
      <c r="A1052" t="s">
        <v>2125</v>
      </c>
      <c r="B1052" t="s">
        <v>2126</v>
      </c>
      <c r="C1052" t="s">
        <v>52</v>
      </c>
      <c r="D1052" t="s">
        <v>23</v>
      </c>
      <c r="E1052" s="5">
        <v>45480</v>
      </c>
      <c r="F1052">
        <v>20</v>
      </c>
      <c r="G1052" t="s">
        <v>13</v>
      </c>
      <c r="H1052" s="6"/>
    </row>
    <row r="1053" spans="1:9" x14ac:dyDescent="0.3">
      <c r="A1053" t="s">
        <v>2127</v>
      </c>
      <c r="B1053" t="s">
        <v>2128</v>
      </c>
      <c r="C1053" t="s">
        <v>11</v>
      </c>
      <c r="D1053" t="s">
        <v>17</v>
      </c>
      <c r="E1053" s="5">
        <v>45389</v>
      </c>
      <c r="F1053">
        <v>17</v>
      </c>
      <c r="G1053" t="s">
        <v>18</v>
      </c>
      <c r="H1053" s="6">
        <v>45389</v>
      </c>
      <c r="I1053">
        <v>3</v>
      </c>
    </row>
    <row r="1054" spans="1:9" x14ac:dyDescent="0.3">
      <c r="A1054" t="s">
        <v>2129</v>
      </c>
      <c r="B1054" t="s">
        <v>2130</v>
      </c>
      <c r="C1054" t="s">
        <v>38</v>
      </c>
      <c r="D1054" t="s">
        <v>69</v>
      </c>
      <c r="E1054" s="5">
        <v>45450</v>
      </c>
      <c r="F1054">
        <v>27</v>
      </c>
      <c r="G1054" t="s">
        <v>32</v>
      </c>
      <c r="H1054" s="6"/>
    </row>
    <row r="1055" spans="1:9" x14ac:dyDescent="0.3">
      <c r="A1055" t="s">
        <v>2131</v>
      </c>
      <c r="B1055" t="s">
        <v>2132</v>
      </c>
      <c r="C1055" t="s">
        <v>11</v>
      </c>
      <c r="D1055" t="s">
        <v>31</v>
      </c>
      <c r="E1055" s="5">
        <v>45334</v>
      </c>
      <c r="F1055">
        <v>32</v>
      </c>
      <c r="G1055" t="s">
        <v>13</v>
      </c>
      <c r="H1055" s="6"/>
    </row>
    <row r="1056" spans="1:9" x14ac:dyDescent="0.3">
      <c r="A1056" t="s">
        <v>2133</v>
      </c>
      <c r="B1056" t="s">
        <v>2134</v>
      </c>
      <c r="C1056" t="s">
        <v>78</v>
      </c>
      <c r="D1056" t="s">
        <v>17</v>
      </c>
      <c r="E1056" s="5">
        <v>45462</v>
      </c>
      <c r="F1056">
        <v>5</v>
      </c>
      <c r="G1056" t="s">
        <v>18</v>
      </c>
      <c r="H1056" s="6">
        <v>45462</v>
      </c>
      <c r="I1056">
        <v>5</v>
      </c>
    </row>
    <row r="1057" spans="1:9" x14ac:dyDescent="0.3">
      <c r="A1057" t="s">
        <v>2135</v>
      </c>
      <c r="B1057" t="s">
        <v>2136</v>
      </c>
      <c r="C1057" t="s">
        <v>11</v>
      </c>
      <c r="D1057" t="s">
        <v>17</v>
      </c>
      <c r="E1057" s="5">
        <v>45467</v>
      </c>
      <c r="F1057">
        <v>32</v>
      </c>
      <c r="G1057" t="s">
        <v>13</v>
      </c>
      <c r="H1057" s="6"/>
    </row>
    <row r="1058" spans="1:9" x14ac:dyDescent="0.3">
      <c r="A1058" t="s">
        <v>2137</v>
      </c>
      <c r="B1058" t="s">
        <v>2138</v>
      </c>
      <c r="C1058" t="s">
        <v>52</v>
      </c>
      <c r="D1058" t="s">
        <v>31</v>
      </c>
      <c r="E1058" s="5">
        <v>45444</v>
      </c>
      <c r="F1058">
        <v>14</v>
      </c>
      <c r="G1058" t="s">
        <v>18</v>
      </c>
      <c r="H1058" s="6">
        <v>45444</v>
      </c>
      <c r="I1058">
        <v>3</v>
      </c>
    </row>
    <row r="1059" spans="1:9" x14ac:dyDescent="0.3">
      <c r="A1059" t="s">
        <v>2139</v>
      </c>
      <c r="B1059" t="s">
        <v>2140</v>
      </c>
      <c r="C1059" t="s">
        <v>78</v>
      </c>
      <c r="D1059" t="s">
        <v>23</v>
      </c>
      <c r="E1059" s="5">
        <v>45393</v>
      </c>
      <c r="F1059">
        <v>12</v>
      </c>
      <c r="G1059" t="s">
        <v>18</v>
      </c>
      <c r="H1059" s="6">
        <v>45393</v>
      </c>
      <c r="I1059">
        <v>4</v>
      </c>
    </row>
    <row r="1060" spans="1:9" x14ac:dyDescent="0.3">
      <c r="A1060" t="s">
        <v>2141</v>
      </c>
      <c r="B1060" t="s">
        <v>2142</v>
      </c>
      <c r="C1060" t="s">
        <v>16</v>
      </c>
      <c r="D1060" t="s">
        <v>17</v>
      </c>
      <c r="E1060" s="5">
        <v>45492</v>
      </c>
      <c r="F1060">
        <v>8</v>
      </c>
      <c r="G1060" t="s">
        <v>18</v>
      </c>
      <c r="H1060" s="6">
        <v>45492</v>
      </c>
      <c r="I1060">
        <v>4</v>
      </c>
    </row>
    <row r="1061" spans="1:9" x14ac:dyDescent="0.3">
      <c r="A1061" t="s">
        <v>2143</v>
      </c>
      <c r="B1061" t="s">
        <v>2144</v>
      </c>
      <c r="C1061" t="s">
        <v>35</v>
      </c>
      <c r="D1061" t="s">
        <v>17</v>
      </c>
      <c r="E1061" s="5">
        <v>45378</v>
      </c>
      <c r="F1061">
        <v>29</v>
      </c>
      <c r="G1061" t="s">
        <v>18</v>
      </c>
      <c r="H1061" s="6">
        <v>45379</v>
      </c>
      <c r="I1061">
        <v>2</v>
      </c>
    </row>
    <row r="1062" spans="1:9" x14ac:dyDescent="0.3">
      <c r="A1062" t="s">
        <v>2145</v>
      </c>
      <c r="B1062" t="s">
        <v>2146</v>
      </c>
      <c r="C1062" t="s">
        <v>16</v>
      </c>
      <c r="D1062" t="s">
        <v>12</v>
      </c>
      <c r="E1062" s="5">
        <v>45434</v>
      </c>
      <c r="F1062">
        <v>13</v>
      </c>
      <c r="G1062" t="s">
        <v>18</v>
      </c>
      <c r="H1062" s="6">
        <v>45434</v>
      </c>
      <c r="I1062">
        <v>3</v>
      </c>
    </row>
    <row r="1063" spans="1:9" x14ac:dyDescent="0.3">
      <c r="A1063" t="s">
        <v>2147</v>
      </c>
      <c r="B1063" t="s">
        <v>2148</v>
      </c>
      <c r="C1063" t="s">
        <v>78</v>
      </c>
      <c r="D1063" t="s">
        <v>69</v>
      </c>
      <c r="E1063" s="5">
        <v>45484</v>
      </c>
      <c r="F1063">
        <v>9</v>
      </c>
      <c r="G1063" t="s">
        <v>18</v>
      </c>
      <c r="H1063" s="6">
        <v>45484</v>
      </c>
      <c r="I1063">
        <v>4</v>
      </c>
    </row>
    <row r="1064" spans="1:9" x14ac:dyDescent="0.3">
      <c r="A1064" t="s">
        <v>2149</v>
      </c>
      <c r="B1064" t="s">
        <v>2150</v>
      </c>
      <c r="C1064" t="s">
        <v>16</v>
      </c>
      <c r="D1064" t="s">
        <v>17</v>
      </c>
      <c r="E1064" s="5">
        <v>45564</v>
      </c>
      <c r="F1064">
        <v>8</v>
      </c>
      <c r="G1064" t="s">
        <v>18</v>
      </c>
      <c r="H1064" s="6">
        <v>45564</v>
      </c>
      <c r="I1064">
        <v>4</v>
      </c>
    </row>
    <row r="1065" spans="1:9" x14ac:dyDescent="0.3">
      <c r="A1065" t="s">
        <v>2151</v>
      </c>
      <c r="B1065" t="s">
        <v>2152</v>
      </c>
      <c r="C1065" t="s">
        <v>28</v>
      </c>
      <c r="D1065" t="s">
        <v>17</v>
      </c>
      <c r="E1065" s="5">
        <v>45560</v>
      </c>
      <c r="F1065">
        <v>88</v>
      </c>
      <c r="G1065" t="s">
        <v>18</v>
      </c>
      <c r="H1065" s="6">
        <v>45563</v>
      </c>
      <c r="I1065">
        <v>5</v>
      </c>
    </row>
    <row r="1066" spans="1:9" x14ac:dyDescent="0.3">
      <c r="A1066" t="s">
        <v>2153</v>
      </c>
      <c r="B1066" t="s">
        <v>2154</v>
      </c>
      <c r="C1066" t="s">
        <v>16</v>
      </c>
      <c r="D1066" t="s">
        <v>69</v>
      </c>
      <c r="E1066" s="5">
        <v>45582</v>
      </c>
      <c r="F1066">
        <v>33</v>
      </c>
      <c r="G1066" t="s">
        <v>18</v>
      </c>
      <c r="H1066" s="6">
        <v>45583</v>
      </c>
      <c r="I1066">
        <v>5</v>
      </c>
    </row>
    <row r="1067" spans="1:9" x14ac:dyDescent="0.3">
      <c r="A1067" t="s">
        <v>2155</v>
      </c>
      <c r="B1067" t="s">
        <v>2156</v>
      </c>
      <c r="C1067" t="s">
        <v>28</v>
      </c>
      <c r="D1067" t="s">
        <v>69</v>
      </c>
      <c r="E1067" s="5">
        <v>45400</v>
      </c>
      <c r="F1067">
        <v>35</v>
      </c>
      <c r="G1067" t="s">
        <v>18</v>
      </c>
      <c r="H1067" s="6">
        <v>45401</v>
      </c>
      <c r="I1067">
        <v>2</v>
      </c>
    </row>
    <row r="1068" spans="1:9" x14ac:dyDescent="0.3">
      <c r="A1068" t="s">
        <v>2157</v>
      </c>
      <c r="B1068" t="s">
        <v>2158</v>
      </c>
      <c r="C1068" t="s">
        <v>35</v>
      </c>
      <c r="D1068" t="s">
        <v>17</v>
      </c>
      <c r="E1068" s="5">
        <v>45309</v>
      </c>
      <c r="F1068">
        <v>59</v>
      </c>
      <c r="G1068" t="s">
        <v>18</v>
      </c>
      <c r="H1068" s="6">
        <v>45311</v>
      </c>
      <c r="I1068">
        <v>1</v>
      </c>
    </row>
    <row r="1069" spans="1:9" x14ac:dyDescent="0.3">
      <c r="A1069" t="s">
        <v>2159</v>
      </c>
      <c r="B1069" t="s">
        <v>2160</v>
      </c>
      <c r="C1069" t="s">
        <v>16</v>
      </c>
      <c r="D1069" t="s">
        <v>23</v>
      </c>
      <c r="E1069" s="5">
        <v>45527</v>
      </c>
      <c r="F1069">
        <v>32</v>
      </c>
      <c r="G1069" t="s">
        <v>13</v>
      </c>
      <c r="H1069" s="6"/>
    </row>
    <row r="1070" spans="1:9" x14ac:dyDescent="0.3">
      <c r="A1070" t="s">
        <v>2161</v>
      </c>
      <c r="B1070" t="s">
        <v>2162</v>
      </c>
      <c r="C1070" t="s">
        <v>11</v>
      </c>
      <c r="D1070" t="s">
        <v>17</v>
      </c>
      <c r="E1070" s="5">
        <v>45615</v>
      </c>
      <c r="F1070">
        <v>38</v>
      </c>
      <c r="G1070" t="s">
        <v>18</v>
      </c>
      <c r="H1070" s="6">
        <v>45616</v>
      </c>
      <c r="I1070">
        <v>2</v>
      </c>
    </row>
    <row r="1071" spans="1:9" x14ac:dyDescent="0.3">
      <c r="A1071" t="s">
        <v>2163</v>
      </c>
      <c r="B1071" t="s">
        <v>2164</v>
      </c>
      <c r="C1071" t="s">
        <v>35</v>
      </c>
      <c r="D1071" t="s">
        <v>69</v>
      </c>
      <c r="E1071" s="5">
        <v>45300</v>
      </c>
      <c r="F1071">
        <v>48</v>
      </c>
      <c r="G1071" t="s">
        <v>18</v>
      </c>
      <c r="H1071" s="6">
        <v>45302</v>
      </c>
      <c r="I1071">
        <v>5</v>
      </c>
    </row>
    <row r="1072" spans="1:9" x14ac:dyDescent="0.3">
      <c r="A1072" t="s">
        <v>2165</v>
      </c>
      <c r="B1072" t="s">
        <v>2166</v>
      </c>
      <c r="C1072" t="s">
        <v>52</v>
      </c>
      <c r="D1072" t="s">
        <v>23</v>
      </c>
      <c r="E1072" s="5">
        <v>45304</v>
      </c>
      <c r="F1072">
        <v>12</v>
      </c>
      <c r="G1072" t="s">
        <v>18</v>
      </c>
      <c r="H1072" s="6">
        <v>45304</v>
      </c>
      <c r="I1072">
        <v>4</v>
      </c>
    </row>
    <row r="1073" spans="1:9" x14ac:dyDescent="0.3">
      <c r="A1073" t="s">
        <v>2167</v>
      </c>
      <c r="B1073" t="s">
        <v>2168</v>
      </c>
      <c r="C1073" t="s">
        <v>16</v>
      </c>
      <c r="D1073" t="s">
        <v>31</v>
      </c>
      <c r="E1073" s="5">
        <v>45433</v>
      </c>
      <c r="F1073">
        <v>31</v>
      </c>
      <c r="G1073" t="s">
        <v>13</v>
      </c>
      <c r="H1073" s="6"/>
    </row>
    <row r="1074" spans="1:9" x14ac:dyDescent="0.3">
      <c r="A1074" t="s">
        <v>2169</v>
      </c>
      <c r="B1074" t="s">
        <v>2170</v>
      </c>
      <c r="C1074" t="s">
        <v>38</v>
      </c>
      <c r="D1074" t="s">
        <v>31</v>
      </c>
      <c r="E1074" s="5">
        <v>45487</v>
      </c>
      <c r="F1074">
        <v>42</v>
      </c>
      <c r="G1074" t="s">
        <v>13</v>
      </c>
      <c r="H1074" s="6"/>
    </row>
    <row r="1075" spans="1:9" x14ac:dyDescent="0.3">
      <c r="A1075" t="s">
        <v>2171</v>
      </c>
      <c r="B1075" t="s">
        <v>2172</v>
      </c>
      <c r="C1075" t="s">
        <v>28</v>
      </c>
      <c r="D1075" t="s">
        <v>23</v>
      </c>
      <c r="E1075" s="5">
        <v>45475</v>
      </c>
      <c r="F1075">
        <v>93</v>
      </c>
      <c r="G1075" t="s">
        <v>18</v>
      </c>
      <c r="H1075" s="6">
        <v>45478</v>
      </c>
      <c r="I1075">
        <v>1</v>
      </c>
    </row>
    <row r="1076" spans="1:9" x14ac:dyDescent="0.3">
      <c r="A1076" t="s">
        <v>2173</v>
      </c>
      <c r="B1076" t="s">
        <v>2174</v>
      </c>
      <c r="C1076" t="s">
        <v>35</v>
      </c>
      <c r="D1076" t="s">
        <v>23</v>
      </c>
      <c r="E1076" s="5">
        <v>45348</v>
      </c>
      <c r="F1076">
        <v>53</v>
      </c>
      <c r="G1076" t="s">
        <v>32</v>
      </c>
      <c r="H1076" s="6"/>
    </row>
    <row r="1077" spans="1:9" x14ac:dyDescent="0.3">
      <c r="A1077" t="s">
        <v>2175</v>
      </c>
      <c r="B1077" t="s">
        <v>2176</v>
      </c>
      <c r="C1077" t="s">
        <v>52</v>
      </c>
      <c r="D1077" t="s">
        <v>69</v>
      </c>
      <c r="E1077" s="5">
        <v>45308</v>
      </c>
      <c r="F1077">
        <v>16</v>
      </c>
      <c r="G1077" t="s">
        <v>18</v>
      </c>
      <c r="H1077" s="6">
        <v>45308</v>
      </c>
      <c r="I1077">
        <v>5</v>
      </c>
    </row>
    <row r="1078" spans="1:9" x14ac:dyDescent="0.3">
      <c r="A1078" t="s">
        <v>2177</v>
      </c>
      <c r="B1078" t="s">
        <v>2178</v>
      </c>
      <c r="C1078" t="s">
        <v>52</v>
      </c>
      <c r="D1078" t="s">
        <v>23</v>
      </c>
      <c r="E1078" s="5">
        <v>45550</v>
      </c>
      <c r="F1078">
        <v>4</v>
      </c>
      <c r="G1078" t="s">
        <v>18</v>
      </c>
      <c r="H1078" s="6">
        <v>45550</v>
      </c>
      <c r="I1078">
        <v>5</v>
      </c>
    </row>
    <row r="1079" spans="1:9" x14ac:dyDescent="0.3">
      <c r="A1079" t="s">
        <v>2179</v>
      </c>
      <c r="B1079" t="s">
        <v>2180</v>
      </c>
      <c r="C1079" t="s">
        <v>78</v>
      </c>
      <c r="D1079" t="s">
        <v>31</v>
      </c>
      <c r="E1079" s="5">
        <v>45472</v>
      </c>
      <c r="F1079">
        <v>24</v>
      </c>
      <c r="G1079" t="s">
        <v>32</v>
      </c>
      <c r="H1079" s="6"/>
    </row>
    <row r="1080" spans="1:9" x14ac:dyDescent="0.3">
      <c r="A1080" t="s">
        <v>2181</v>
      </c>
      <c r="B1080" t="s">
        <v>2182</v>
      </c>
      <c r="C1080" t="s">
        <v>41</v>
      </c>
      <c r="D1080" t="s">
        <v>23</v>
      </c>
      <c r="E1080" s="5">
        <v>45486</v>
      </c>
      <c r="F1080">
        <v>6</v>
      </c>
      <c r="G1080" t="s">
        <v>32</v>
      </c>
      <c r="H1080" s="6"/>
    </row>
    <row r="1081" spans="1:9" x14ac:dyDescent="0.3">
      <c r="A1081" t="s">
        <v>2183</v>
      </c>
      <c r="B1081" t="s">
        <v>2184</v>
      </c>
      <c r="C1081" t="s">
        <v>11</v>
      </c>
      <c r="D1081" t="s">
        <v>69</v>
      </c>
      <c r="E1081" s="5">
        <v>45443</v>
      </c>
      <c r="F1081">
        <v>44</v>
      </c>
      <c r="G1081" t="s">
        <v>32</v>
      </c>
      <c r="H1081" s="6"/>
    </row>
    <row r="1082" spans="1:9" x14ac:dyDescent="0.3">
      <c r="A1082" t="s">
        <v>2185</v>
      </c>
      <c r="B1082" t="s">
        <v>2186</v>
      </c>
      <c r="C1082" t="s">
        <v>11</v>
      </c>
      <c r="D1082" t="s">
        <v>23</v>
      </c>
      <c r="E1082" s="5">
        <v>45635</v>
      </c>
      <c r="F1082">
        <v>21</v>
      </c>
      <c r="G1082" t="s">
        <v>13</v>
      </c>
      <c r="H1082" s="6"/>
    </row>
    <row r="1083" spans="1:9" x14ac:dyDescent="0.3">
      <c r="A1083" t="s">
        <v>2187</v>
      </c>
      <c r="B1083" t="s">
        <v>2188</v>
      </c>
      <c r="C1083" t="s">
        <v>35</v>
      </c>
      <c r="D1083" t="s">
        <v>12</v>
      </c>
      <c r="E1083" s="5">
        <v>45561</v>
      </c>
      <c r="F1083">
        <v>59</v>
      </c>
      <c r="G1083" t="s">
        <v>18</v>
      </c>
      <c r="H1083" s="6">
        <v>45563</v>
      </c>
      <c r="I1083">
        <v>1</v>
      </c>
    </row>
    <row r="1084" spans="1:9" x14ac:dyDescent="0.3">
      <c r="A1084" t="s">
        <v>2189</v>
      </c>
      <c r="B1084" t="s">
        <v>2190</v>
      </c>
      <c r="C1084" t="s">
        <v>11</v>
      </c>
      <c r="D1084" t="s">
        <v>31</v>
      </c>
      <c r="E1084" s="5">
        <v>45453</v>
      </c>
      <c r="F1084">
        <v>38</v>
      </c>
      <c r="G1084" t="s">
        <v>18</v>
      </c>
      <c r="H1084" s="6">
        <v>45454</v>
      </c>
      <c r="I1084">
        <v>2</v>
      </c>
    </row>
    <row r="1085" spans="1:9" x14ac:dyDescent="0.3">
      <c r="A1085" t="s">
        <v>2191</v>
      </c>
      <c r="B1085" t="s">
        <v>2192</v>
      </c>
      <c r="C1085" t="s">
        <v>16</v>
      </c>
      <c r="D1085" t="s">
        <v>31</v>
      </c>
      <c r="E1085" s="5">
        <v>45446</v>
      </c>
      <c r="F1085">
        <v>32</v>
      </c>
      <c r="G1085" t="s">
        <v>13</v>
      </c>
      <c r="H1085" s="6"/>
    </row>
    <row r="1086" spans="1:9" x14ac:dyDescent="0.3">
      <c r="A1086" t="s">
        <v>2193</v>
      </c>
      <c r="B1086" t="s">
        <v>2194</v>
      </c>
      <c r="C1086" t="s">
        <v>41</v>
      </c>
      <c r="D1086" t="s">
        <v>69</v>
      </c>
      <c r="E1086" s="5">
        <v>45602</v>
      </c>
      <c r="F1086">
        <v>12</v>
      </c>
      <c r="G1086" t="s">
        <v>18</v>
      </c>
      <c r="H1086" s="6">
        <v>45602</v>
      </c>
      <c r="I1086">
        <v>4</v>
      </c>
    </row>
    <row r="1087" spans="1:9" x14ac:dyDescent="0.3">
      <c r="A1087" t="s">
        <v>2195</v>
      </c>
      <c r="B1087" t="s">
        <v>2196</v>
      </c>
      <c r="C1087" t="s">
        <v>16</v>
      </c>
      <c r="D1087" t="s">
        <v>17</v>
      </c>
      <c r="E1087" s="5">
        <v>45508</v>
      </c>
      <c r="F1087">
        <v>12</v>
      </c>
      <c r="G1087" t="s">
        <v>18</v>
      </c>
      <c r="H1087" s="6">
        <v>45508</v>
      </c>
      <c r="I1087">
        <v>4</v>
      </c>
    </row>
    <row r="1088" spans="1:9" x14ac:dyDescent="0.3">
      <c r="A1088" t="s">
        <v>2197</v>
      </c>
      <c r="B1088" t="s">
        <v>2198</v>
      </c>
      <c r="C1088" t="s">
        <v>16</v>
      </c>
      <c r="D1088" t="s">
        <v>23</v>
      </c>
      <c r="E1088" s="5">
        <v>45340</v>
      </c>
      <c r="F1088">
        <v>6</v>
      </c>
      <c r="G1088" t="s">
        <v>18</v>
      </c>
      <c r="H1088" s="6">
        <v>45340</v>
      </c>
      <c r="I1088">
        <v>5</v>
      </c>
    </row>
    <row r="1089" spans="1:9" x14ac:dyDescent="0.3">
      <c r="A1089" t="s">
        <v>2199</v>
      </c>
      <c r="B1089" t="s">
        <v>2200</v>
      </c>
      <c r="C1089" t="s">
        <v>28</v>
      </c>
      <c r="D1089" t="s">
        <v>17</v>
      </c>
      <c r="E1089" s="5">
        <v>45300</v>
      </c>
      <c r="F1089">
        <v>68</v>
      </c>
      <c r="G1089" t="s">
        <v>18</v>
      </c>
      <c r="H1089" s="6">
        <v>45302</v>
      </c>
      <c r="I1089">
        <v>1</v>
      </c>
    </row>
    <row r="1090" spans="1:9" x14ac:dyDescent="0.3">
      <c r="A1090" t="s">
        <v>2201</v>
      </c>
      <c r="B1090" t="s">
        <v>2202</v>
      </c>
      <c r="C1090" t="s">
        <v>78</v>
      </c>
      <c r="D1090" t="s">
        <v>69</v>
      </c>
      <c r="E1090" s="5">
        <v>45528</v>
      </c>
      <c r="F1090">
        <v>5</v>
      </c>
      <c r="G1090" t="s">
        <v>32</v>
      </c>
      <c r="H1090" s="6"/>
    </row>
    <row r="1091" spans="1:9" x14ac:dyDescent="0.3">
      <c r="A1091" t="s">
        <v>2203</v>
      </c>
      <c r="B1091" t="s">
        <v>2204</v>
      </c>
      <c r="C1091" t="s">
        <v>28</v>
      </c>
      <c r="D1091" t="s">
        <v>31</v>
      </c>
      <c r="E1091" s="5">
        <v>45322</v>
      </c>
      <c r="F1091">
        <v>93</v>
      </c>
      <c r="G1091" t="s">
        <v>13</v>
      </c>
      <c r="H1091" s="6"/>
    </row>
    <row r="1092" spans="1:9" x14ac:dyDescent="0.3">
      <c r="A1092" t="s">
        <v>2205</v>
      </c>
      <c r="B1092" t="s">
        <v>2206</v>
      </c>
      <c r="C1092" t="s">
        <v>41</v>
      </c>
      <c r="D1092" t="s">
        <v>23</v>
      </c>
      <c r="E1092" s="5">
        <v>45461</v>
      </c>
      <c r="F1092">
        <v>4</v>
      </c>
      <c r="G1092" t="s">
        <v>32</v>
      </c>
      <c r="H1092" s="6"/>
    </row>
    <row r="1093" spans="1:9" x14ac:dyDescent="0.3">
      <c r="A1093" t="s">
        <v>2207</v>
      </c>
      <c r="B1093" t="s">
        <v>2208</v>
      </c>
      <c r="C1093" t="s">
        <v>52</v>
      </c>
      <c r="D1093" t="s">
        <v>31</v>
      </c>
      <c r="E1093" s="5">
        <v>45418</v>
      </c>
      <c r="F1093">
        <v>15</v>
      </c>
      <c r="G1093" t="s">
        <v>18</v>
      </c>
      <c r="H1093" s="6">
        <v>45418</v>
      </c>
      <c r="I1093">
        <v>3</v>
      </c>
    </row>
    <row r="1094" spans="1:9" x14ac:dyDescent="0.3">
      <c r="A1094" t="s">
        <v>2209</v>
      </c>
      <c r="B1094" t="s">
        <v>2210</v>
      </c>
      <c r="C1094" t="s">
        <v>52</v>
      </c>
      <c r="D1094" t="s">
        <v>12</v>
      </c>
      <c r="E1094" s="5">
        <v>45455</v>
      </c>
      <c r="F1094">
        <v>8</v>
      </c>
      <c r="G1094" t="s">
        <v>13</v>
      </c>
      <c r="H1094" s="6"/>
    </row>
    <row r="1095" spans="1:9" x14ac:dyDescent="0.3">
      <c r="A1095" t="s">
        <v>2211</v>
      </c>
      <c r="B1095" t="s">
        <v>2212</v>
      </c>
      <c r="C1095" t="s">
        <v>78</v>
      </c>
      <c r="D1095" t="s">
        <v>12</v>
      </c>
      <c r="E1095" s="5">
        <v>45476</v>
      </c>
      <c r="F1095">
        <v>23</v>
      </c>
      <c r="G1095" t="s">
        <v>18</v>
      </c>
      <c r="H1095" s="6">
        <v>45476</v>
      </c>
      <c r="I1095">
        <v>3</v>
      </c>
    </row>
    <row r="1096" spans="1:9" x14ac:dyDescent="0.3">
      <c r="A1096" t="s">
        <v>2213</v>
      </c>
      <c r="B1096" t="s">
        <v>2214</v>
      </c>
      <c r="C1096" t="s">
        <v>28</v>
      </c>
      <c r="D1096" t="s">
        <v>23</v>
      </c>
      <c r="E1096" s="5">
        <v>45458</v>
      </c>
      <c r="F1096">
        <v>88</v>
      </c>
      <c r="G1096" t="s">
        <v>18</v>
      </c>
      <c r="H1096" s="6">
        <v>45461</v>
      </c>
      <c r="I1096">
        <v>1</v>
      </c>
    </row>
    <row r="1097" spans="1:9" x14ac:dyDescent="0.3">
      <c r="A1097" t="s">
        <v>2215</v>
      </c>
      <c r="B1097" t="s">
        <v>2216</v>
      </c>
      <c r="C1097" t="s">
        <v>28</v>
      </c>
      <c r="D1097" t="s">
        <v>31</v>
      </c>
      <c r="E1097" s="5">
        <v>45368</v>
      </c>
      <c r="F1097">
        <v>29</v>
      </c>
      <c r="G1097" t="s">
        <v>18</v>
      </c>
      <c r="H1097" s="6">
        <v>45369</v>
      </c>
      <c r="I1097">
        <v>2</v>
      </c>
    </row>
    <row r="1098" spans="1:9" x14ac:dyDescent="0.3">
      <c r="A1098" t="s">
        <v>2217</v>
      </c>
      <c r="B1098" t="s">
        <v>2218</v>
      </c>
      <c r="C1098" t="s">
        <v>35</v>
      </c>
      <c r="D1098" t="s">
        <v>12</v>
      </c>
      <c r="E1098" s="5">
        <v>45474</v>
      </c>
      <c r="F1098">
        <v>58</v>
      </c>
      <c r="G1098" t="s">
        <v>13</v>
      </c>
      <c r="H1098" s="6"/>
    </row>
    <row r="1099" spans="1:9" x14ac:dyDescent="0.3">
      <c r="A1099" t="s">
        <v>2219</v>
      </c>
      <c r="B1099" t="s">
        <v>2220</v>
      </c>
      <c r="C1099" t="s">
        <v>41</v>
      </c>
      <c r="D1099" t="s">
        <v>31</v>
      </c>
      <c r="E1099" s="5">
        <v>45529</v>
      </c>
      <c r="F1099">
        <v>3</v>
      </c>
      <c r="G1099" t="s">
        <v>13</v>
      </c>
      <c r="H1099" s="6"/>
    </row>
    <row r="1100" spans="1:9" x14ac:dyDescent="0.3">
      <c r="A1100" t="s">
        <v>2221</v>
      </c>
      <c r="B1100" t="s">
        <v>2222</v>
      </c>
      <c r="C1100" t="s">
        <v>52</v>
      </c>
      <c r="D1100" t="s">
        <v>23</v>
      </c>
      <c r="E1100" s="5">
        <v>45402</v>
      </c>
      <c r="F1100">
        <v>4</v>
      </c>
      <c r="G1100" t="s">
        <v>18</v>
      </c>
      <c r="H1100" s="6">
        <v>45402</v>
      </c>
      <c r="I1100">
        <v>5</v>
      </c>
    </row>
    <row r="1101" spans="1:9" x14ac:dyDescent="0.3">
      <c r="A1101" t="s">
        <v>2223</v>
      </c>
      <c r="B1101" t="s">
        <v>2224</v>
      </c>
      <c r="C1101" t="s">
        <v>52</v>
      </c>
      <c r="D1101" t="s">
        <v>69</v>
      </c>
      <c r="E1101" s="5">
        <v>45505</v>
      </c>
      <c r="F1101">
        <v>2</v>
      </c>
      <c r="G1101" t="s">
        <v>18</v>
      </c>
      <c r="H1101" s="6">
        <v>45505</v>
      </c>
      <c r="I1101">
        <v>5</v>
      </c>
    </row>
    <row r="1102" spans="1:9" x14ac:dyDescent="0.3">
      <c r="A1102" t="s">
        <v>2225</v>
      </c>
      <c r="B1102" t="s">
        <v>2226</v>
      </c>
      <c r="C1102" t="s">
        <v>38</v>
      </c>
      <c r="D1102" t="s">
        <v>23</v>
      </c>
      <c r="E1102" s="5">
        <v>45385</v>
      </c>
      <c r="F1102">
        <v>21</v>
      </c>
      <c r="G1102" t="s">
        <v>13</v>
      </c>
      <c r="H1102" s="6"/>
    </row>
    <row r="1103" spans="1:9" x14ac:dyDescent="0.3">
      <c r="A1103" t="s">
        <v>2227</v>
      </c>
      <c r="B1103" t="s">
        <v>2228</v>
      </c>
      <c r="C1103" t="s">
        <v>28</v>
      </c>
      <c r="D1103" t="s">
        <v>12</v>
      </c>
      <c r="E1103" s="5">
        <v>45504</v>
      </c>
      <c r="F1103">
        <v>60</v>
      </c>
      <c r="G1103" t="s">
        <v>18</v>
      </c>
      <c r="H1103" s="6">
        <v>45506</v>
      </c>
      <c r="I1103">
        <v>1</v>
      </c>
    </row>
    <row r="1104" spans="1:9" x14ac:dyDescent="0.3">
      <c r="A1104" t="s">
        <v>2229</v>
      </c>
      <c r="B1104" t="s">
        <v>2230</v>
      </c>
      <c r="C1104" t="s">
        <v>52</v>
      </c>
      <c r="D1104" t="s">
        <v>23</v>
      </c>
      <c r="E1104" s="5">
        <v>45482</v>
      </c>
      <c r="F1104">
        <v>4</v>
      </c>
      <c r="G1104" t="s">
        <v>18</v>
      </c>
      <c r="H1104" s="6">
        <v>45482</v>
      </c>
      <c r="I1104">
        <v>5</v>
      </c>
    </row>
    <row r="1105" spans="1:9" x14ac:dyDescent="0.3">
      <c r="A1105" t="s">
        <v>2231</v>
      </c>
      <c r="B1105" t="s">
        <v>2232</v>
      </c>
      <c r="C1105" t="s">
        <v>16</v>
      </c>
      <c r="D1105" t="s">
        <v>69</v>
      </c>
      <c r="E1105" s="5">
        <v>45614</v>
      </c>
      <c r="F1105">
        <v>5</v>
      </c>
      <c r="G1105" t="s">
        <v>18</v>
      </c>
      <c r="H1105" s="6">
        <v>45614</v>
      </c>
      <c r="I1105">
        <v>5</v>
      </c>
    </row>
    <row r="1106" spans="1:9" x14ac:dyDescent="0.3">
      <c r="A1106" t="s">
        <v>2233</v>
      </c>
      <c r="B1106" t="s">
        <v>2234</v>
      </c>
      <c r="C1106" t="s">
        <v>41</v>
      </c>
      <c r="D1106" t="s">
        <v>31</v>
      </c>
      <c r="E1106" s="5">
        <v>45536</v>
      </c>
      <c r="F1106">
        <v>1</v>
      </c>
      <c r="G1106" t="s">
        <v>32</v>
      </c>
      <c r="H1106" s="6"/>
    </row>
    <row r="1107" spans="1:9" x14ac:dyDescent="0.3">
      <c r="A1107" t="s">
        <v>2235</v>
      </c>
      <c r="B1107" t="s">
        <v>2236</v>
      </c>
      <c r="C1107" t="s">
        <v>11</v>
      </c>
      <c r="D1107" t="s">
        <v>31</v>
      </c>
      <c r="E1107" s="5">
        <v>45470</v>
      </c>
      <c r="F1107">
        <v>38</v>
      </c>
      <c r="G1107" t="s">
        <v>32</v>
      </c>
      <c r="H1107" s="6"/>
    </row>
    <row r="1108" spans="1:9" x14ac:dyDescent="0.3">
      <c r="A1108" t="s">
        <v>2237</v>
      </c>
      <c r="B1108" t="s">
        <v>2238</v>
      </c>
      <c r="C1108" t="s">
        <v>11</v>
      </c>
      <c r="D1108" t="s">
        <v>31</v>
      </c>
      <c r="E1108" s="5">
        <v>45586</v>
      </c>
      <c r="F1108">
        <v>27</v>
      </c>
      <c r="G1108" t="s">
        <v>18</v>
      </c>
      <c r="H1108" s="6">
        <v>45587</v>
      </c>
      <c r="I1108">
        <v>2</v>
      </c>
    </row>
    <row r="1109" spans="1:9" x14ac:dyDescent="0.3">
      <c r="A1109" t="s">
        <v>2239</v>
      </c>
      <c r="B1109" t="s">
        <v>2240</v>
      </c>
      <c r="C1109" t="s">
        <v>35</v>
      </c>
      <c r="D1109" t="s">
        <v>23</v>
      </c>
      <c r="E1109" s="5">
        <v>45638</v>
      </c>
      <c r="F1109">
        <v>35</v>
      </c>
      <c r="G1109" t="s">
        <v>18</v>
      </c>
      <c r="H1109" s="6">
        <v>45639</v>
      </c>
      <c r="I1109">
        <v>2</v>
      </c>
    </row>
    <row r="1110" spans="1:9" x14ac:dyDescent="0.3">
      <c r="A1110" t="s">
        <v>2241</v>
      </c>
      <c r="B1110" t="s">
        <v>2242</v>
      </c>
      <c r="C1110" t="s">
        <v>78</v>
      </c>
      <c r="D1110" t="s">
        <v>12</v>
      </c>
      <c r="E1110" s="5">
        <v>45359</v>
      </c>
      <c r="F1110">
        <v>11</v>
      </c>
      <c r="G1110" t="s">
        <v>13</v>
      </c>
      <c r="H1110" s="6"/>
    </row>
    <row r="1111" spans="1:9" x14ac:dyDescent="0.3">
      <c r="A1111" t="s">
        <v>2243</v>
      </c>
      <c r="B1111" t="s">
        <v>2244</v>
      </c>
      <c r="C1111" t="s">
        <v>78</v>
      </c>
      <c r="D1111" t="s">
        <v>17</v>
      </c>
      <c r="E1111" s="5">
        <v>45452</v>
      </c>
      <c r="F1111">
        <v>18</v>
      </c>
      <c r="G1111" t="s">
        <v>18</v>
      </c>
      <c r="H1111" s="6">
        <v>45452</v>
      </c>
      <c r="I1111">
        <v>3</v>
      </c>
    </row>
    <row r="1112" spans="1:9" x14ac:dyDescent="0.3">
      <c r="A1112" t="s">
        <v>2245</v>
      </c>
      <c r="B1112" t="s">
        <v>2246</v>
      </c>
      <c r="C1112" t="s">
        <v>35</v>
      </c>
      <c r="D1112" t="s">
        <v>31</v>
      </c>
      <c r="E1112" s="5">
        <v>45609</v>
      </c>
      <c r="F1112">
        <v>47</v>
      </c>
      <c r="G1112" t="s">
        <v>18</v>
      </c>
      <c r="H1112" s="6">
        <v>45610</v>
      </c>
      <c r="I1112">
        <v>2</v>
      </c>
    </row>
    <row r="1113" spans="1:9" x14ac:dyDescent="0.3">
      <c r="A1113" t="s">
        <v>2247</v>
      </c>
      <c r="B1113" t="s">
        <v>2248</v>
      </c>
      <c r="C1113" t="s">
        <v>41</v>
      </c>
      <c r="D1113" t="s">
        <v>31</v>
      </c>
      <c r="E1113" s="5">
        <v>45517</v>
      </c>
      <c r="F1113">
        <v>5</v>
      </c>
      <c r="G1113" t="s">
        <v>18</v>
      </c>
      <c r="H1113" s="6">
        <v>45517</v>
      </c>
      <c r="I1113">
        <v>5</v>
      </c>
    </row>
    <row r="1114" spans="1:9" x14ac:dyDescent="0.3">
      <c r="A1114" t="s">
        <v>2249</v>
      </c>
      <c r="B1114" t="s">
        <v>2250</v>
      </c>
      <c r="C1114" t="s">
        <v>16</v>
      </c>
      <c r="D1114" t="s">
        <v>31</v>
      </c>
      <c r="E1114" s="5">
        <v>45515</v>
      </c>
      <c r="F1114">
        <v>24</v>
      </c>
      <c r="G1114" t="s">
        <v>13</v>
      </c>
      <c r="H1114" s="6"/>
    </row>
    <row r="1115" spans="1:9" x14ac:dyDescent="0.3">
      <c r="A1115" t="s">
        <v>2251</v>
      </c>
      <c r="B1115" t="s">
        <v>2252</v>
      </c>
      <c r="C1115" t="s">
        <v>52</v>
      </c>
      <c r="D1115" t="s">
        <v>12</v>
      </c>
      <c r="E1115" s="5">
        <v>45542</v>
      </c>
      <c r="F1115">
        <v>20</v>
      </c>
      <c r="G1115" t="s">
        <v>13</v>
      </c>
      <c r="H1115" s="6"/>
    </row>
    <row r="1116" spans="1:9" x14ac:dyDescent="0.3">
      <c r="A1116" t="s">
        <v>2253</v>
      </c>
      <c r="B1116" t="s">
        <v>2254</v>
      </c>
      <c r="C1116" t="s">
        <v>41</v>
      </c>
      <c r="D1116" t="s">
        <v>12</v>
      </c>
      <c r="E1116" s="5">
        <v>45346</v>
      </c>
      <c r="F1116">
        <v>7</v>
      </c>
      <c r="G1116" t="s">
        <v>13</v>
      </c>
      <c r="H1116" s="6"/>
    </row>
    <row r="1117" spans="1:9" x14ac:dyDescent="0.3">
      <c r="A1117" t="s">
        <v>2255</v>
      </c>
      <c r="B1117" t="s">
        <v>2256</v>
      </c>
      <c r="C1117" t="s">
        <v>28</v>
      </c>
      <c r="D1117" t="s">
        <v>12</v>
      </c>
      <c r="E1117" s="5">
        <v>45314</v>
      </c>
      <c r="F1117">
        <v>79</v>
      </c>
      <c r="G1117" t="s">
        <v>18</v>
      </c>
      <c r="H1117" s="6">
        <v>45317</v>
      </c>
      <c r="I1117">
        <v>5</v>
      </c>
    </row>
    <row r="1118" spans="1:9" x14ac:dyDescent="0.3">
      <c r="A1118" t="s">
        <v>2257</v>
      </c>
      <c r="B1118" t="s">
        <v>2258</v>
      </c>
      <c r="C1118" t="s">
        <v>38</v>
      </c>
      <c r="D1118" t="s">
        <v>12</v>
      </c>
      <c r="E1118" s="5">
        <v>45600</v>
      </c>
      <c r="F1118">
        <v>10</v>
      </c>
      <c r="G1118" t="s">
        <v>18</v>
      </c>
      <c r="H1118" s="6">
        <v>45600</v>
      </c>
      <c r="I1118">
        <v>4</v>
      </c>
    </row>
    <row r="1119" spans="1:9" x14ac:dyDescent="0.3">
      <c r="A1119" t="s">
        <v>2259</v>
      </c>
      <c r="B1119" t="s">
        <v>2260</v>
      </c>
      <c r="C1119" t="s">
        <v>41</v>
      </c>
      <c r="D1119" t="s">
        <v>23</v>
      </c>
      <c r="E1119" s="5">
        <v>45387</v>
      </c>
      <c r="F1119">
        <v>3</v>
      </c>
      <c r="G1119" t="s">
        <v>18</v>
      </c>
      <c r="H1119" s="6">
        <v>45387</v>
      </c>
      <c r="I1119">
        <v>5</v>
      </c>
    </row>
    <row r="1120" spans="1:9" x14ac:dyDescent="0.3">
      <c r="A1120" t="s">
        <v>2261</v>
      </c>
      <c r="B1120" t="s">
        <v>2262</v>
      </c>
      <c r="C1120" t="s">
        <v>52</v>
      </c>
      <c r="D1120" t="s">
        <v>23</v>
      </c>
      <c r="E1120" s="5">
        <v>45526</v>
      </c>
      <c r="F1120">
        <v>9</v>
      </c>
      <c r="G1120" t="s">
        <v>18</v>
      </c>
      <c r="H1120" s="6">
        <v>45526</v>
      </c>
      <c r="I1120">
        <v>4</v>
      </c>
    </row>
    <row r="1121" spans="1:9" x14ac:dyDescent="0.3">
      <c r="A1121" t="s">
        <v>2263</v>
      </c>
      <c r="B1121" t="s">
        <v>2264</v>
      </c>
      <c r="C1121" t="s">
        <v>16</v>
      </c>
      <c r="D1121" t="s">
        <v>12</v>
      </c>
      <c r="E1121" s="5">
        <v>45414</v>
      </c>
      <c r="F1121">
        <v>5</v>
      </c>
      <c r="G1121" t="s">
        <v>18</v>
      </c>
      <c r="H1121" s="5">
        <v>45414</v>
      </c>
      <c r="I1121">
        <v>5</v>
      </c>
    </row>
    <row r="1122" spans="1:9" x14ac:dyDescent="0.3">
      <c r="A1122" t="s">
        <v>2265</v>
      </c>
      <c r="B1122" t="s">
        <v>2266</v>
      </c>
      <c r="C1122" t="s">
        <v>11</v>
      </c>
      <c r="D1122" t="s">
        <v>23</v>
      </c>
      <c r="E1122" s="5">
        <v>45444</v>
      </c>
      <c r="F1122">
        <v>15</v>
      </c>
      <c r="G1122" t="s">
        <v>13</v>
      </c>
      <c r="H1122" s="6"/>
    </row>
    <row r="1123" spans="1:9" x14ac:dyDescent="0.3">
      <c r="A1123" t="s">
        <v>2267</v>
      </c>
      <c r="B1123" t="s">
        <v>2268</v>
      </c>
      <c r="C1123" t="s">
        <v>78</v>
      </c>
      <c r="D1123" t="s">
        <v>12</v>
      </c>
      <c r="E1123" s="5">
        <v>45473</v>
      </c>
      <c r="F1123">
        <v>23</v>
      </c>
      <c r="G1123" t="s">
        <v>18</v>
      </c>
      <c r="H1123" s="6">
        <v>45473</v>
      </c>
      <c r="I1123">
        <v>3</v>
      </c>
    </row>
    <row r="1124" spans="1:9" x14ac:dyDescent="0.3">
      <c r="A1124" t="s">
        <v>2269</v>
      </c>
      <c r="B1124" t="s">
        <v>2270</v>
      </c>
      <c r="C1124" t="s">
        <v>38</v>
      </c>
      <c r="D1124" t="s">
        <v>31</v>
      </c>
      <c r="E1124" s="5">
        <v>45546</v>
      </c>
      <c r="F1124">
        <v>42</v>
      </c>
      <c r="G1124" t="s">
        <v>18</v>
      </c>
      <c r="H1124" s="6">
        <v>45547</v>
      </c>
      <c r="I1124">
        <v>2</v>
      </c>
    </row>
    <row r="1125" spans="1:9" x14ac:dyDescent="0.3">
      <c r="A1125" t="s">
        <v>2271</v>
      </c>
      <c r="B1125" t="s">
        <v>2272</v>
      </c>
      <c r="C1125" t="s">
        <v>28</v>
      </c>
      <c r="D1125" t="s">
        <v>23</v>
      </c>
      <c r="E1125" s="5">
        <v>45539</v>
      </c>
      <c r="F1125">
        <v>74</v>
      </c>
      <c r="G1125" t="s">
        <v>32</v>
      </c>
      <c r="H1125" s="6"/>
    </row>
    <row r="1126" spans="1:9" x14ac:dyDescent="0.3">
      <c r="A1126" t="s">
        <v>2273</v>
      </c>
      <c r="B1126" t="s">
        <v>2274</v>
      </c>
      <c r="C1126" t="s">
        <v>35</v>
      </c>
      <c r="D1126" t="s">
        <v>69</v>
      </c>
      <c r="E1126" s="5">
        <v>45413</v>
      </c>
      <c r="F1126">
        <v>33</v>
      </c>
      <c r="G1126" t="s">
        <v>32</v>
      </c>
      <c r="H1126" s="6"/>
    </row>
    <row r="1127" spans="1:9" x14ac:dyDescent="0.3">
      <c r="A1127" t="s">
        <v>2275</v>
      </c>
      <c r="B1127" t="s">
        <v>2276</v>
      </c>
      <c r="C1127" t="s">
        <v>11</v>
      </c>
      <c r="D1127" t="s">
        <v>12</v>
      </c>
      <c r="E1127" s="5">
        <v>45608</v>
      </c>
      <c r="F1127">
        <v>22</v>
      </c>
      <c r="G1127" t="s">
        <v>18</v>
      </c>
      <c r="H1127" s="6">
        <v>45608</v>
      </c>
      <c r="I1127">
        <v>3</v>
      </c>
    </row>
    <row r="1128" spans="1:9" x14ac:dyDescent="0.3">
      <c r="A1128" t="s">
        <v>2277</v>
      </c>
      <c r="B1128" t="s">
        <v>2278</v>
      </c>
      <c r="C1128" t="s">
        <v>11</v>
      </c>
      <c r="D1128" t="s">
        <v>23</v>
      </c>
      <c r="E1128" s="5">
        <v>45304</v>
      </c>
      <c r="F1128">
        <v>13</v>
      </c>
      <c r="G1128" t="s">
        <v>18</v>
      </c>
      <c r="H1128" s="6">
        <v>45304</v>
      </c>
      <c r="I1128">
        <v>3</v>
      </c>
    </row>
    <row r="1129" spans="1:9" x14ac:dyDescent="0.3">
      <c r="A1129" t="s">
        <v>2279</v>
      </c>
      <c r="B1129" t="s">
        <v>2280</v>
      </c>
      <c r="C1129" t="s">
        <v>28</v>
      </c>
      <c r="D1129" t="s">
        <v>12</v>
      </c>
      <c r="E1129" s="5">
        <v>45603</v>
      </c>
      <c r="F1129">
        <v>87</v>
      </c>
      <c r="G1129" t="s">
        <v>18</v>
      </c>
      <c r="H1129" s="6">
        <v>45606</v>
      </c>
      <c r="I1129">
        <v>1</v>
      </c>
    </row>
    <row r="1130" spans="1:9" x14ac:dyDescent="0.3">
      <c r="A1130" t="s">
        <v>2281</v>
      </c>
      <c r="B1130" t="s">
        <v>2282</v>
      </c>
      <c r="C1130" t="s">
        <v>78</v>
      </c>
      <c r="D1130" t="s">
        <v>31</v>
      </c>
      <c r="E1130" s="5">
        <v>45482</v>
      </c>
      <c r="F1130">
        <v>9</v>
      </c>
      <c r="G1130" t="s">
        <v>18</v>
      </c>
      <c r="H1130" s="6">
        <v>45482</v>
      </c>
      <c r="I1130">
        <v>4</v>
      </c>
    </row>
    <row r="1131" spans="1:9" x14ac:dyDescent="0.3">
      <c r="A1131" t="s">
        <v>2283</v>
      </c>
      <c r="B1131" t="s">
        <v>2284</v>
      </c>
      <c r="C1131" t="s">
        <v>35</v>
      </c>
      <c r="D1131" t="s">
        <v>12</v>
      </c>
      <c r="E1131" s="5">
        <v>45500</v>
      </c>
      <c r="F1131">
        <v>30</v>
      </c>
      <c r="G1131" t="s">
        <v>13</v>
      </c>
      <c r="H1131" s="6"/>
    </row>
    <row r="1132" spans="1:9" x14ac:dyDescent="0.3">
      <c r="A1132" t="s">
        <v>2285</v>
      </c>
      <c r="B1132" t="s">
        <v>2286</v>
      </c>
      <c r="C1132" t="s">
        <v>28</v>
      </c>
      <c r="D1132" t="s">
        <v>31</v>
      </c>
      <c r="E1132" s="5">
        <v>45372</v>
      </c>
      <c r="F1132">
        <v>55</v>
      </c>
      <c r="G1132" t="s">
        <v>32</v>
      </c>
      <c r="H1132" s="6"/>
    </row>
    <row r="1133" spans="1:9" x14ac:dyDescent="0.3">
      <c r="A1133" t="s">
        <v>2287</v>
      </c>
      <c r="B1133" t="s">
        <v>2288</v>
      </c>
      <c r="C1133" t="s">
        <v>38</v>
      </c>
      <c r="D1133" t="s">
        <v>12</v>
      </c>
      <c r="E1133" s="5">
        <v>45550</v>
      </c>
      <c r="F1133">
        <v>10</v>
      </c>
      <c r="G1133" t="s">
        <v>18</v>
      </c>
      <c r="H1133" s="6">
        <v>45550</v>
      </c>
      <c r="I1133">
        <v>4</v>
      </c>
    </row>
    <row r="1134" spans="1:9" x14ac:dyDescent="0.3">
      <c r="A1134" t="s">
        <v>2289</v>
      </c>
      <c r="B1134" t="s">
        <v>2290</v>
      </c>
      <c r="C1134" t="s">
        <v>28</v>
      </c>
      <c r="D1134" t="s">
        <v>17</v>
      </c>
      <c r="E1134" s="5">
        <v>45537</v>
      </c>
      <c r="F1134">
        <v>53</v>
      </c>
      <c r="G1134" t="s">
        <v>18</v>
      </c>
      <c r="H1134" s="6">
        <v>45539</v>
      </c>
      <c r="I1134">
        <v>1</v>
      </c>
    </row>
    <row r="1135" spans="1:9" x14ac:dyDescent="0.3">
      <c r="A1135" t="s">
        <v>2291</v>
      </c>
      <c r="B1135" t="s">
        <v>2292</v>
      </c>
      <c r="C1135" t="s">
        <v>16</v>
      </c>
      <c r="D1135" t="s">
        <v>17</v>
      </c>
      <c r="E1135" s="5">
        <v>45597</v>
      </c>
      <c r="F1135">
        <v>33</v>
      </c>
      <c r="G1135" t="s">
        <v>18</v>
      </c>
      <c r="H1135" s="6">
        <v>45598</v>
      </c>
      <c r="I1135">
        <v>2</v>
      </c>
    </row>
    <row r="1136" spans="1:9" x14ac:dyDescent="0.3">
      <c r="A1136" t="s">
        <v>2293</v>
      </c>
      <c r="B1136" t="s">
        <v>2294</v>
      </c>
      <c r="C1136" t="s">
        <v>35</v>
      </c>
      <c r="D1136" t="s">
        <v>31</v>
      </c>
      <c r="E1136" s="5">
        <v>45496</v>
      </c>
      <c r="F1136">
        <v>41</v>
      </c>
      <c r="G1136" t="s">
        <v>32</v>
      </c>
      <c r="H1136" s="6"/>
    </row>
    <row r="1137" spans="1:9" x14ac:dyDescent="0.3">
      <c r="A1137" t="s">
        <v>2295</v>
      </c>
      <c r="B1137" t="s">
        <v>2296</v>
      </c>
      <c r="C1137" t="s">
        <v>35</v>
      </c>
      <c r="D1137" t="s">
        <v>69</v>
      </c>
      <c r="E1137" s="5">
        <v>45330</v>
      </c>
      <c r="F1137">
        <v>69</v>
      </c>
      <c r="G1137" t="s">
        <v>18</v>
      </c>
      <c r="H1137" s="6">
        <v>45332</v>
      </c>
      <c r="I1137">
        <v>1</v>
      </c>
    </row>
    <row r="1138" spans="1:9" x14ac:dyDescent="0.3">
      <c r="A1138" t="s">
        <v>2297</v>
      </c>
      <c r="B1138" t="s">
        <v>2298</v>
      </c>
      <c r="C1138" t="s">
        <v>16</v>
      </c>
      <c r="D1138" t="s">
        <v>23</v>
      </c>
      <c r="E1138" s="5">
        <v>45345</v>
      </c>
      <c r="F1138">
        <v>31</v>
      </c>
      <c r="G1138" t="s">
        <v>18</v>
      </c>
      <c r="H1138" s="6">
        <v>45346</v>
      </c>
      <c r="I1138">
        <v>2</v>
      </c>
    </row>
    <row r="1139" spans="1:9" x14ac:dyDescent="0.3">
      <c r="A1139" t="s">
        <v>2299</v>
      </c>
      <c r="B1139" t="s">
        <v>2300</v>
      </c>
      <c r="C1139" t="s">
        <v>16</v>
      </c>
      <c r="D1139" t="s">
        <v>69</v>
      </c>
      <c r="E1139" s="5">
        <v>45523</v>
      </c>
      <c r="F1139">
        <v>19</v>
      </c>
      <c r="G1139" t="s">
        <v>18</v>
      </c>
      <c r="H1139" s="6">
        <v>45523</v>
      </c>
      <c r="I1139">
        <v>3</v>
      </c>
    </row>
    <row r="1140" spans="1:9" x14ac:dyDescent="0.3">
      <c r="A1140" t="s">
        <v>2301</v>
      </c>
      <c r="B1140" t="s">
        <v>2302</v>
      </c>
      <c r="C1140" t="s">
        <v>41</v>
      </c>
      <c r="D1140" t="s">
        <v>23</v>
      </c>
      <c r="E1140" s="5">
        <v>45447</v>
      </c>
      <c r="F1140">
        <v>12</v>
      </c>
      <c r="G1140" t="s">
        <v>18</v>
      </c>
      <c r="H1140" s="6">
        <v>45447</v>
      </c>
      <c r="I1140">
        <v>4</v>
      </c>
    </row>
    <row r="1141" spans="1:9" x14ac:dyDescent="0.3">
      <c r="A1141" t="s">
        <v>2303</v>
      </c>
      <c r="B1141" t="s">
        <v>2304</v>
      </c>
      <c r="C1141" t="s">
        <v>16</v>
      </c>
      <c r="D1141" t="s">
        <v>69</v>
      </c>
      <c r="E1141" s="5">
        <v>45462</v>
      </c>
      <c r="F1141">
        <v>33</v>
      </c>
      <c r="G1141" t="s">
        <v>32</v>
      </c>
      <c r="H1141" s="6"/>
    </row>
    <row r="1142" spans="1:9" x14ac:dyDescent="0.3">
      <c r="A1142" t="s">
        <v>2305</v>
      </c>
      <c r="B1142" t="s">
        <v>2306</v>
      </c>
      <c r="C1142" t="s">
        <v>52</v>
      </c>
      <c r="D1142" t="s">
        <v>17</v>
      </c>
      <c r="E1142" s="5">
        <v>45366</v>
      </c>
      <c r="F1142">
        <v>18</v>
      </c>
      <c r="G1142" t="s">
        <v>18</v>
      </c>
      <c r="H1142" s="6">
        <v>45366</v>
      </c>
      <c r="I1142">
        <v>3</v>
      </c>
    </row>
    <row r="1143" spans="1:9" x14ac:dyDescent="0.3">
      <c r="A1143" t="s">
        <v>2307</v>
      </c>
      <c r="B1143" t="s">
        <v>2308</v>
      </c>
      <c r="C1143" t="s">
        <v>16</v>
      </c>
      <c r="D1143" t="s">
        <v>17</v>
      </c>
      <c r="E1143" s="5">
        <v>45346</v>
      </c>
      <c r="F1143">
        <v>21</v>
      </c>
      <c r="G1143" t="s">
        <v>18</v>
      </c>
      <c r="H1143" s="6">
        <v>45346</v>
      </c>
      <c r="I1143">
        <v>3</v>
      </c>
    </row>
    <row r="1144" spans="1:9" x14ac:dyDescent="0.3">
      <c r="A1144" t="s">
        <v>2309</v>
      </c>
      <c r="B1144" t="s">
        <v>2310</v>
      </c>
      <c r="C1144" t="s">
        <v>35</v>
      </c>
      <c r="D1144" t="s">
        <v>23</v>
      </c>
      <c r="E1144" s="5">
        <v>45655</v>
      </c>
      <c r="F1144">
        <v>40</v>
      </c>
      <c r="G1144" t="s">
        <v>13</v>
      </c>
      <c r="H1144" s="6"/>
    </row>
    <row r="1145" spans="1:9" x14ac:dyDescent="0.3">
      <c r="A1145" t="s">
        <v>2311</v>
      </c>
      <c r="B1145" t="s">
        <v>2312</v>
      </c>
      <c r="C1145" t="s">
        <v>28</v>
      </c>
      <c r="D1145" t="s">
        <v>69</v>
      </c>
      <c r="E1145" s="5">
        <v>45373</v>
      </c>
      <c r="F1145">
        <v>39</v>
      </c>
      <c r="G1145" t="s">
        <v>18</v>
      </c>
      <c r="H1145" s="6">
        <v>45374</v>
      </c>
      <c r="I1145">
        <v>2</v>
      </c>
    </row>
    <row r="1146" spans="1:9" x14ac:dyDescent="0.3">
      <c r="A1146" t="s">
        <v>2313</v>
      </c>
      <c r="B1146" t="s">
        <v>2314</v>
      </c>
      <c r="C1146" t="s">
        <v>35</v>
      </c>
      <c r="D1146" t="s">
        <v>69</v>
      </c>
      <c r="E1146" s="5">
        <v>45515</v>
      </c>
      <c r="F1146">
        <v>26</v>
      </c>
      <c r="G1146" t="s">
        <v>32</v>
      </c>
      <c r="H1146" s="6"/>
    </row>
    <row r="1147" spans="1:9" x14ac:dyDescent="0.3">
      <c r="A1147" t="s">
        <v>2315</v>
      </c>
      <c r="B1147" t="s">
        <v>2316</v>
      </c>
      <c r="C1147" t="s">
        <v>28</v>
      </c>
      <c r="D1147" t="s">
        <v>69</v>
      </c>
      <c r="E1147" s="5">
        <v>45598</v>
      </c>
      <c r="F1147">
        <v>34</v>
      </c>
      <c r="G1147" t="s">
        <v>18</v>
      </c>
      <c r="H1147" s="6">
        <v>45599</v>
      </c>
      <c r="I1147">
        <v>5</v>
      </c>
    </row>
    <row r="1148" spans="1:9" x14ac:dyDescent="0.3">
      <c r="A1148" t="s">
        <v>2317</v>
      </c>
      <c r="B1148" t="s">
        <v>2318</v>
      </c>
      <c r="C1148" t="s">
        <v>52</v>
      </c>
      <c r="D1148" t="s">
        <v>23</v>
      </c>
      <c r="E1148" s="5">
        <v>45548</v>
      </c>
      <c r="F1148">
        <v>23</v>
      </c>
      <c r="G1148" t="s">
        <v>13</v>
      </c>
      <c r="H1148" s="6"/>
    </row>
    <row r="1149" spans="1:9" x14ac:dyDescent="0.3">
      <c r="A1149" t="s">
        <v>2319</v>
      </c>
      <c r="B1149" t="s">
        <v>2320</v>
      </c>
      <c r="C1149" t="s">
        <v>16</v>
      </c>
      <c r="D1149" t="s">
        <v>69</v>
      </c>
      <c r="E1149" s="5">
        <v>45584</v>
      </c>
      <c r="F1149">
        <v>7</v>
      </c>
      <c r="G1149" t="s">
        <v>18</v>
      </c>
      <c r="H1149" s="6">
        <v>45584</v>
      </c>
      <c r="I1149">
        <v>4</v>
      </c>
    </row>
    <row r="1150" spans="1:9" x14ac:dyDescent="0.3">
      <c r="A1150" t="s">
        <v>2321</v>
      </c>
      <c r="B1150" t="s">
        <v>2322</v>
      </c>
      <c r="C1150" t="s">
        <v>38</v>
      </c>
      <c r="D1150" t="s">
        <v>69</v>
      </c>
      <c r="E1150" s="5">
        <v>45492</v>
      </c>
      <c r="F1150">
        <v>19</v>
      </c>
      <c r="G1150" t="s">
        <v>18</v>
      </c>
      <c r="H1150" s="6">
        <v>45492</v>
      </c>
      <c r="I1150">
        <v>3</v>
      </c>
    </row>
    <row r="1151" spans="1:9" x14ac:dyDescent="0.3">
      <c r="A1151" t="s">
        <v>2323</v>
      </c>
      <c r="B1151" t="s">
        <v>2324</v>
      </c>
      <c r="C1151" t="s">
        <v>52</v>
      </c>
      <c r="D1151" t="s">
        <v>31</v>
      </c>
      <c r="E1151" s="5">
        <v>45425</v>
      </c>
      <c r="F1151">
        <v>17</v>
      </c>
      <c r="G1151" t="s">
        <v>18</v>
      </c>
      <c r="H1151" s="6">
        <v>45425</v>
      </c>
      <c r="I1151">
        <v>5</v>
      </c>
    </row>
    <row r="1152" spans="1:9" x14ac:dyDescent="0.3">
      <c r="A1152" t="s">
        <v>2325</v>
      </c>
      <c r="B1152" t="s">
        <v>2326</v>
      </c>
      <c r="C1152" t="s">
        <v>38</v>
      </c>
      <c r="D1152" t="s">
        <v>23</v>
      </c>
      <c r="E1152" s="5">
        <v>45517</v>
      </c>
      <c r="F1152">
        <v>61</v>
      </c>
      <c r="G1152" t="s">
        <v>18</v>
      </c>
      <c r="H1152" s="6">
        <v>45519</v>
      </c>
      <c r="I1152">
        <v>5</v>
      </c>
    </row>
    <row r="1153" spans="1:9" x14ac:dyDescent="0.3">
      <c r="A1153" t="s">
        <v>2327</v>
      </c>
      <c r="B1153" t="s">
        <v>2328</v>
      </c>
      <c r="C1153" t="s">
        <v>41</v>
      </c>
      <c r="D1153" t="s">
        <v>23</v>
      </c>
      <c r="E1153" s="5">
        <v>45400</v>
      </c>
      <c r="F1153">
        <v>5</v>
      </c>
      <c r="G1153" t="s">
        <v>18</v>
      </c>
      <c r="H1153" s="6">
        <v>45400</v>
      </c>
      <c r="I1153">
        <v>5</v>
      </c>
    </row>
    <row r="1154" spans="1:9" x14ac:dyDescent="0.3">
      <c r="A1154" t="s">
        <v>2329</v>
      </c>
      <c r="B1154" t="s">
        <v>2330</v>
      </c>
      <c r="C1154" t="s">
        <v>16</v>
      </c>
      <c r="D1154" t="s">
        <v>31</v>
      </c>
      <c r="E1154" s="5">
        <v>45424</v>
      </c>
      <c r="F1154">
        <v>7</v>
      </c>
      <c r="G1154" t="s">
        <v>18</v>
      </c>
      <c r="H1154" s="6">
        <v>45424</v>
      </c>
      <c r="I1154">
        <v>4</v>
      </c>
    </row>
    <row r="1155" spans="1:9" x14ac:dyDescent="0.3">
      <c r="A1155" t="s">
        <v>2331</v>
      </c>
      <c r="B1155" t="s">
        <v>2332</v>
      </c>
      <c r="C1155" t="s">
        <v>41</v>
      </c>
      <c r="D1155" t="s">
        <v>23</v>
      </c>
      <c r="E1155" s="5">
        <v>45456</v>
      </c>
      <c r="F1155">
        <v>2</v>
      </c>
      <c r="G1155" t="s">
        <v>32</v>
      </c>
      <c r="H1155" s="6"/>
    </row>
    <row r="1156" spans="1:9" x14ac:dyDescent="0.3">
      <c r="A1156" t="s">
        <v>2333</v>
      </c>
      <c r="B1156" t="s">
        <v>2334</v>
      </c>
      <c r="C1156" t="s">
        <v>35</v>
      </c>
      <c r="D1156" t="s">
        <v>23</v>
      </c>
      <c r="E1156" s="5">
        <v>45424</v>
      </c>
      <c r="F1156">
        <v>29</v>
      </c>
      <c r="G1156" t="s">
        <v>18</v>
      </c>
      <c r="H1156" s="6">
        <v>45425</v>
      </c>
      <c r="I1156">
        <v>2</v>
      </c>
    </row>
    <row r="1157" spans="1:9" x14ac:dyDescent="0.3">
      <c r="A1157" t="s">
        <v>2335</v>
      </c>
      <c r="B1157" t="s">
        <v>2336</v>
      </c>
      <c r="C1157" t="s">
        <v>78</v>
      </c>
      <c r="D1157" t="s">
        <v>17</v>
      </c>
      <c r="E1157" s="5">
        <v>45548</v>
      </c>
      <c r="F1157">
        <v>9</v>
      </c>
      <c r="G1157" t="s">
        <v>18</v>
      </c>
      <c r="H1157" s="6">
        <v>45548</v>
      </c>
      <c r="I1157">
        <v>4</v>
      </c>
    </row>
    <row r="1158" spans="1:9" x14ac:dyDescent="0.3">
      <c r="A1158" t="s">
        <v>2337</v>
      </c>
      <c r="B1158" t="s">
        <v>2338</v>
      </c>
      <c r="C1158" t="s">
        <v>11</v>
      </c>
      <c r="D1158" t="s">
        <v>12</v>
      </c>
      <c r="E1158" s="5">
        <v>45358</v>
      </c>
      <c r="F1158">
        <v>11</v>
      </c>
      <c r="G1158" t="s">
        <v>18</v>
      </c>
      <c r="H1158" s="6">
        <v>45358</v>
      </c>
      <c r="I1158">
        <v>4</v>
      </c>
    </row>
    <row r="1159" spans="1:9" x14ac:dyDescent="0.3">
      <c r="A1159" t="s">
        <v>2339</v>
      </c>
      <c r="B1159" t="s">
        <v>2340</v>
      </c>
      <c r="C1159" t="s">
        <v>52</v>
      </c>
      <c r="D1159" t="s">
        <v>31</v>
      </c>
      <c r="E1159" s="5">
        <v>45450</v>
      </c>
      <c r="F1159">
        <v>13</v>
      </c>
      <c r="G1159" t="s">
        <v>18</v>
      </c>
      <c r="H1159" s="6">
        <v>45450</v>
      </c>
      <c r="I1159">
        <v>3</v>
      </c>
    </row>
    <row r="1160" spans="1:9" x14ac:dyDescent="0.3">
      <c r="A1160" t="s">
        <v>2341</v>
      </c>
      <c r="B1160" t="s">
        <v>2342</v>
      </c>
      <c r="C1160" t="s">
        <v>78</v>
      </c>
      <c r="D1160" t="s">
        <v>31</v>
      </c>
      <c r="E1160" s="5">
        <v>45632</v>
      </c>
      <c r="F1160">
        <v>19</v>
      </c>
      <c r="G1160" t="s">
        <v>32</v>
      </c>
      <c r="H1160" s="6"/>
    </row>
    <row r="1161" spans="1:9" x14ac:dyDescent="0.3">
      <c r="A1161" t="s">
        <v>2343</v>
      </c>
      <c r="B1161" t="s">
        <v>2344</v>
      </c>
      <c r="C1161" t="s">
        <v>11</v>
      </c>
      <c r="D1161" t="s">
        <v>31</v>
      </c>
      <c r="E1161" s="5">
        <v>45420</v>
      </c>
      <c r="F1161">
        <v>5</v>
      </c>
      <c r="G1161" t="s">
        <v>13</v>
      </c>
      <c r="H1161" s="6"/>
    </row>
    <row r="1162" spans="1:9" x14ac:dyDescent="0.3">
      <c r="A1162" t="s">
        <v>2345</v>
      </c>
      <c r="B1162" t="s">
        <v>2346</v>
      </c>
      <c r="C1162" t="s">
        <v>78</v>
      </c>
      <c r="D1162" t="s">
        <v>31</v>
      </c>
      <c r="E1162" s="5">
        <v>45437</v>
      </c>
      <c r="F1162">
        <v>11</v>
      </c>
      <c r="G1162" t="s">
        <v>13</v>
      </c>
      <c r="H1162" s="6"/>
    </row>
    <row r="1163" spans="1:9" x14ac:dyDescent="0.3">
      <c r="A1163" t="s">
        <v>2347</v>
      </c>
      <c r="B1163" t="s">
        <v>2348</v>
      </c>
      <c r="C1163" t="s">
        <v>35</v>
      </c>
      <c r="D1163" t="s">
        <v>31</v>
      </c>
      <c r="E1163" s="5">
        <v>45582</v>
      </c>
      <c r="F1163">
        <v>67</v>
      </c>
      <c r="G1163" t="s">
        <v>18</v>
      </c>
      <c r="H1163" s="6">
        <v>45584</v>
      </c>
      <c r="I1163">
        <v>1</v>
      </c>
    </row>
    <row r="1164" spans="1:9" x14ac:dyDescent="0.3">
      <c r="A1164" t="s">
        <v>2349</v>
      </c>
      <c r="B1164" t="s">
        <v>2350</v>
      </c>
      <c r="C1164" t="s">
        <v>78</v>
      </c>
      <c r="D1164" t="s">
        <v>12</v>
      </c>
      <c r="E1164" s="5">
        <v>45591</v>
      </c>
      <c r="F1164">
        <v>7</v>
      </c>
      <c r="G1164" t="s">
        <v>32</v>
      </c>
      <c r="H1164" s="6"/>
    </row>
    <row r="1165" spans="1:9" x14ac:dyDescent="0.3">
      <c r="A1165" t="s">
        <v>2351</v>
      </c>
      <c r="B1165" t="s">
        <v>2352</v>
      </c>
      <c r="C1165" t="s">
        <v>52</v>
      </c>
      <c r="D1165" t="s">
        <v>12</v>
      </c>
      <c r="E1165" s="5">
        <v>45648</v>
      </c>
      <c r="F1165">
        <v>10</v>
      </c>
      <c r="G1165" t="s">
        <v>18</v>
      </c>
      <c r="H1165" s="6">
        <v>45648</v>
      </c>
      <c r="I1165">
        <v>4</v>
      </c>
    </row>
    <row r="1166" spans="1:9" x14ac:dyDescent="0.3">
      <c r="A1166" t="s">
        <v>2353</v>
      </c>
      <c r="B1166" t="s">
        <v>2354</v>
      </c>
      <c r="C1166" t="s">
        <v>38</v>
      </c>
      <c r="D1166" t="s">
        <v>12</v>
      </c>
      <c r="E1166" s="5">
        <v>45545</v>
      </c>
      <c r="F1166">
        <v>27</v>
      </c>
      <c r="G1166" t="s">
        <v>18</v>
      </c>
      <c r="H1166" s="6">
        <v>45546</v>
      </c>
      <c r="I1166">
        <v>2</v>
      </c>
    </row>
    <row r="1167" spans="1:9" x14ac:dyDescent="0.3">
      <c r="A1167" t="s">
        <v>2355</v>
      </c>
      <c r="B1167" t="s">
        <v>2356</v>
      </c>
      <c r="C1167" t="s">
        <v>41</v>
      </c>
      <c r="D1167" t="s">
        <v>12</v>
      </c>
      <c r="E1167" s="5">
        <v>45553</v>
      </c>
      <c r="F1167">
        <v>5</v>
      </c>
      <c r="G1167" t="s">
        <v>13</v>
      </c>
      <c r="H1167" s="6"/>
    </row>
    <row r="1168" spans="1:9" x14ac:dyDescent="0.3">
      <c r="A1168" t="s">
        <v>2357</v>
      </c>
      <c r="B1168" t="s">
        <v>2358</v>
      </c>
      <c r="C1168" t="s">
        <v>16</v>
      </c>
      <c r="D1168" t="s">
        <v>12</v>
      </c>
      <c r="E1168" s="5">
        <v>45448</v>
      </c>
      <c r="F1168">
        <v>20</v>
      </c>
      <c r="G1168" t="s">
        <v>13</v>
      </c>
      <c r="H1168" s="6"/>
    </row>
    <row r="1169" spans="1:9" x14ac:dyDescent="0.3">
      <c r="A1169" t="s">
        <v>2359</v>
      </c>
      <c r="B1169" t="s">
        <v>2360</v>
      </c>
      <c r="C1169" t="s">
        <v>11</v>
      </c>
      <c r="D1169" t="s">
        <v>31</v>
      </c>
      <c r="E1169" s="5">
        <v>45324</v>
      </c>
      <c r="F1169">
        <v>41</v>
      </c>
      <c r="G1169" t="s">
        <v>18</v>
      </c>
      <c r="H1169" s="6">
        <v>45325</v>
      </c>
      <c r="I1169">
        <v>5</v>
      </c>
    </row>
    <row r="1170" spans="1:9" x14ac:dyDescent="0.3">
      <c r="A1170" t="s">
        <v>2361</v>
      </c>
      <c r="B1170" t="s">
        <v>2362</v>
      </c>
      <c r="C1170" t="s">
        <v>28</v>
      </c>
      <c r="D1170" t="s">
        <v>17</v>
      </c>
      <c r="E1170" s="5">
        <v>45624</v>
      </c>
      <c r="F1170">
        <v>68</v>
      </c>
      <c r="G1170" t="s">
        <v>18</v>
      </c>
      <c r="H1170" s="6">
        <v>45626</v>
      </c>
      <c r="I1170">
        <v>1</v>
      </c>
    </row>
    <row r="1171" spans="1:9" x14ac:dyDescent="0.3">
      <c r="A1171" t="s">
        <v>2363</v>
      </c>
      <c r="B1171" t="s">
        <v>2364</v>
      </c>
      <c r="C1171" t="s">
        <v>11</v>
      </c>
      <c r="D1171" t="s">
        <v>31</v>
      </c>
      <c r="E1171" s="5">
        <v>45629</v>
      </c>
      <c r="F1171">
        <v>16</v>
      </c>
      <c r="G1171" t="s">
        <v>18</v>
      </c>
      <c r="H1171" s="6">
        <v>45629</v>
      </c>
      <c r="I1171">
        <v>3</v>
      </c>
    </row>
    <row r="1172" spans="1:9" x14ac:dyDescent="0.3">
      <c r="A1172" t="s">
        <v>2365</v>
      </c>
      <c r="B1172" t="s">
        <v>2366</v>
      </c>
      <c r="C1172" t="s">
        <v>78</v>
      </c>
      <c r="D1172" t="s">
        <v>23</v>
      </c>
      <c r="E1172" s="5">
        <v>45613</v>
      </c>
      <c r="F1172">
        <v>6</v>
      </c>
      <c r="G1172" t="s">
        <v>13</v>
      </c>
      <c r="H1172" s="6"/>
    </row>
    <row r="1173" spans="1:9" x14ac:dyDescent="0.3">
      <c r="A1173" t="s">
        <v>2367</v>
      </c>
      <c r="B1173" t="s">
        <v>2368</v>
      </c>
      <c r="C1173" t="s">
        <v>16</v>
      </c>
      <c r="D1173" t="s">
        <v>17</v>
      </c>
      <c r="E1173" s="5">
        <v>45424</v>
      </c>
      <c r="F1173">
        <v>23</v>
      </c>
      <c r="G1173" t="s">
        <v>13</v>
      </c>
      <c r="H1173" s="6"/>
    </row>
    <row r="1174" spans="1:9" x14ac:dyDescent="0.3">
      <c r="A1174" t="s">
        <v>2369</v>
      </c>
      <c r="B1174" t="s">
        <v>2370</v>
      </c>
      <c r="C1174" t="s">
        <v>41</v>
      </c>
      <c r="D1174" t="s">
        <v>23</v>
      </c>
      <c r="E1174" s="5">
        <v>45565</v>
      </c>
      <c r="F1174">
        <v>1</v>
      </c>
      <c r="G1174" t="s">
        <v>18</v>
      </c>
      <c r="H1174" s="6">
        <v>45565</v>
      </c>
      <c r="I1174">
        <v>5</v>
      </c>
    </row>
    <row r="1175" spans="1:9" x14ac:dyDescent="0.3">
      <c r="A1175" t="s">
        <v>2371</v>
      </c>
      <c r="B1175" t="s">
        <v>2372</v>
      </c>
      <c r="C1175" t="s">
        <v>16</v>
      </c>
      <c r="D1175" t="s">
        <v>17</v>
      </c>
      <c r="E1175" s="5">
        <v>45299</v>
      </c>
      <c r="F1175">
        <v>6</v>
      </c>
      <c r="G1175" t="s">
        <v>18</v>
      </c>
      <c r="H1175" s="6">
        <v>45299</v>
      </c>
      <c r="I1175">
        <v>5</v>
      </c>
    </row>
    <row r="1176" spans="1:9" x14ac:dyDescent="0.3">
      <c r="A1176" t="s">
        <v>2373</v>
      </c>
      <c r="B1176" t="s">
        <v>2374</v>
      </c>
      <c r="C1176" t="s">
        <v>11</v>
      </c>
      <c r="D1176" t="s">
        <v>17</v>
      </c>
      <c r="E1176" s="5">
        <v>45381</v>
      </c>
      <c r="F1176">
        <v>18</v>
      </c>
      <c r="G1176" t="s">
        <v>32</v>
      </c>
      <c r="H1176" s="6"/>
    </row>
    <row r="1177" spans="1:9" x14ac:dyDescent="0.3">
      <c r="A1177" t="s">
        <v>2375</v>
      </c>
      <c r="B1177" t="s">
        <v>2376</v>
      </c>
      <c r="C1177" t="s">
        <v>11</v>
      </c>
      <c r="D1177" t="s">
        <v>69</v>
      </c>
      <c r="E1177" s="5">
        <v>45615</v>
      </c>
      <c r="F1177">
        <v>20</v>
      </c>
      <c r="G1177" t="s">
        <v>18</v>
      </c>
      <c r="H1177" s="6">
        <v>45615</v>
      </c>
      <c r="I1177">
        <v>3</v>
      </c>
    </row>
    <row r="1178" spans="1:9" x14ac:dyDescent="0.3">
      <c r="A1178" t="s">
        <v>2377</v>
      </c>
      <c r="B1178" t="s">
        <v>2378</v>
      </c>
      <c r="C1178" t="s">
        <v>11</v>
      </c>
      <c r="D1178" t="s">
        <v>23</v>
      </c>
      <c r="E1178" s="5">
        <v>45643</v>
      </c>
      <c r="F1178">
        <v>6</v>
      </c>
      <c r="G1178" t="s">
        <v>18</v>
      </c>
      <c r="H1178" s="6">
        <v>45643</v>
      </c>
      <c r="I1178">
        <v>5</v>
      </c>
    </row>
    <row r="1179" spans="1:9" x14ac:dyDescent="0.3">
      <c r="A1179" t="s">
        <v>2379</v>
      </c>
      <c r="B1179" t="s">
        <v>2380</v>
      </c>
      <c r="C1179" t="s">
        <v>35</v>
      </c>
      <c r="D1179" t="s">
        <v>17</v>
      </c>
      <c r="E1179" s="5">
        <v>45446</v>
      </c>
      <c r="F1179">
        <v>32</v>
      </c>
      <c r="G1179" t="s">
        <v>18</v>
      </c>
      <c r="H1179" s="6">
        <v>45447</v>
      </c>
      <c r="I1179">
        <v>2</v>
      </c>
    </row>
    <row r="1180" spans="1:9" x14ac:dyDescent="0.3">
      <c r="A1180" t="s">
        <v>2381</v>
      </c>
      <c r="B1180" t="s">
        <v>2382</v>
      </c>
      <c r="C1180" t="s">
        <v>78</v>
      </c>
      <c r="D1180" t="s">
        <v>23</v>
      </c>
      <c r="E1180" s="5">
        <v>45564</v>
      </c>
      <c r="F1180">
        <v>14</v>
      </c>
      <c r="G1180" t="s">
        <v>13</v>
      </c>
      <c r="H1180" s="6"/>
    </row>
    <row r="1181" spans="1:9" x14ac:dyDescent="0.3">
      <c r="A1181" t="s">
        <v>2383</v>
      </c>
      <c r="B1181" t="s">
        <v>2384</v>
      </c>
      <c r="C1181" t="s">
        <v>52</v>
      </c>
      <c r="D1181" t="s">
        <v>12</v>
      </c>
      <c r="E1181" s="5">
        <v>45400</v>
      </c>
      <c r="F1181">
        <v>7</v>
      </c>
      <c r="G1181" t="s">
        <v>18</v>
      </c>
      <c r="H1181" s="6">
        <v>45400</v>
      </c>
      <c r="I1181">
        <v>4</v>
      </c>
    </row>
    <row r="1182" spans="1:9" x14ac:dyDescent="0.3">
      <c r="A1182" t="s">
        <v>2385</v>
      </c>
      <c r="B1182" t="s">
        <v>2386</v>
      </c>
      <c r="C1182" t="s">
        <v>38</v>
      </c>
      <c r="D1182" t="s">
        <v>23</v>
      </c>
      <c r="E1182" s="5">
        <v>45632</v>
      </c>
      <c r="F1182">
        <v>45</v>
      </c>
      <c r="G1182" t="s">
        <v>13</v>
      </c>
      <c r="H1182" s="6"/>
    </row>
    <row r="1183" spans="1:9" x14ac:dyDescent="0.3">
      <c r="A1183" t="s">
        <v>2387</v>
      </c>
      <c r="B1183" t="s">
        <v>2388</v>
      </c>
      <c r="C1183" t="s">
        <v>78</v>
      </c>
      <c r="D1183" t="s">
        <v>31</v>
      </c>
      <c r="E1183" s="5">
        <v>45508</v>
      </c>
      <c r="F1183">
        <v>12</v>
      </c>
      <c r="G1183" t="s">
        <v>18</v>
      </c>
      <c r="H1183" s="6">
        <v>45508</v>
      </c>
      <c r="I1183">
        <v>4</v>
      </c>
    </row>
    <row r="1184" spans="1:9" x14ac:dyDescent="0.3">
      <c r="A1184" t="s">
        <v>2389</v>
      </c>
      <c r="B1184" t="s">
        <v>2390</v>
      </c>
      <c r="C1184" t="s">
        <v>52</v>
      </c>
      <c r="D1184" t="s">
        <v>31</v>
      </c>
      <c r="E1184" s="5">
        <v>45645</v>
      </c>
      <c r="F1184">
        <v>7</v>
      </c>
      <c r="G1184" t="s">
        <v>18</v>
      </c>
      <c r="H1184" s="6">
        <v>45645</v>
      </c>
      <c r="I1184">
        <v>4</v>
      </c>
    </row>
    <row r="1185" spans="1:9" x14ac:dyDescent="0.3">
      <c r="A1185" t="s">
        <v>2391</v>
      </c>
      <c r="B1185" t="s">
        <v>2392</v>
      </c>
      <c r="C1185" t="s">
        <v>35</v>
      </c>
      <c r="D1185" t="s">
        <v>31</v>
      </c>
      <c r="E1185" s="5">
        <v>45330</v>
      </c>
      <c r="F1185">
        <v>33</v>
      </c>
      <c r="G1185" t="s">
        <v>13</v>
      </c>
      <c r="H1185" s="6"/>
    </row>
    <row r="1186" spans="1:9" x14ac:dyDescent="0.3">
      <c r="A1186" t="s">
        <v>2393</v>
      </c>
      <c r="B1186" t="s">
        <v>2394</v>
      </c>
      <c r="C1186" t="s">
        <v>35</v>
      </c>
      <c r="D1186" t="s">
        <v>69</v>
      </c>
      <c r="E1186" s="5">
        <v>45340</v>
      </c>
      <c r="F1186">
        <v>72</v>
      </c>
      <c r="G1186" t="s">
        <v>18</v>
      </c>
      <c r="H1186" s="6">
        <v>45343</v>
      </c>
      <c r="I1186">
        <v>1</v>
      </c>
    </row>
    <row r="1187" spans="1:9" x14ac:dyDescent="0.3">
      <c r="A1187" t="s">
        <v>2395</v>
      </c>
      <c r="B1187" t="s">
        <v>2396</v>
      </c>
      <c r="C1187" t="s">
        <v>38</v>
      </c>
      <c r="D1187" t="s">
        <v>17</v>
      </c>
      <c r="E1187" s="5">
        <v>45482</v>
      </c>
      <c r="F1187">
        <v>50</v>
      </c>
      <c r="G1187" t="s">
        <v>13</v>
      </c>
      <c r="H1187" s="6"/>
    </row>
    <row r="1188" spans="1:9" x14ac:dyDescent="0.3">
      <c r="A1188" t="s">
        <v>2397</v>
      </c>
      <c r="B1188" t="s">
        <v>2398</v>
      </c>
      <c r="C1188" t="s">
        <v>28</v>
      </c>
      <c r="D1188" t="s">
        <v>12</v>
      </c>
      <c r="E1188" s="5">
        <v>45510</v>
      </c>
      <c r="F1188">
        <v>92</v>
      </c>
      <c r="G1188" t="s">
        <v>18</v>
      </c>
      <c r="H1188" s="6">
        <v>45513</v>
      </c>
      <c r="I1188">
        <v>1</v>
      </c>
    </row>
    <row r="1189" spans="1:9" x14ac:dyDescent="0.3">
      <c r="A1189" t="s">
        <v>2399</v>
      </c>
      <c r="B1189" t="s">
        <v>2400</v>
      </c>
      <c r="C1189" t="s">
        <v>78</v>
      </c>
      <c r="D1189" t="s">
        <v>69</v>
      </c>
      <c r="E1189" s="5">
        <v>45355</v>
      </c>
      <c r="F1189">
        <v>4</v>
      </c>
      <c r="G1189" t="s">
        <v>18</v>
      </c>
      <c r="H1189" s="6">
        <v>45355</v>
      </c>
      <c r="I1189">
        <v>5</v>
      </c>
    </row>
    <row r="1190" spans="1:9" x14ac:dyDescent="0.3">
      <c r="A1190" t="s">
        <v>2401</v>
      </c>
      <c r="B1190" t="s">
        <v>2402</v>
      </c>
      <c r="C1190" t="s">
        <v>52</v>
      </c>
      <c r="D1190" t="s">
        <v>23</v>
      </c>
      <c r="E1190" s="5">
        <v>45436</v>
      </c>
      <c r="F1190">
        <v>22</v>
      </c>
      <c r="G1190" t="s">
        <v>18</v>
      </c>
      <c r="H1190" s="6">
        <v>45436</v>
      </c>
      <c r="I1190">
        <v>5</v>
      </c>
    </row>
    <row r="1191" spans="1:9" x14ac:dyDescent="0.3">
      <c r="A1191" t="s">
        <v>2403</v>
      </c>
      <c r="B1191" t="s">
        <v>2404</v>
      </c>
      <c r="C1191" t="s">
        <v>78</v>
      </c>
      <c r="D1191" t="s">
        <v>17</v>
      </c>
      <c r="E1191" s="5">
        <v>45492</v>
      </c>
      <c r="F1191">
        <v>18</v>
      </c>
      <c r="G1191" t="s">
        <v>18</v>
      </c>
      <c r="H1191" s="6">
        <v>45492</v>
      </c>
      <c r="I1191">
        <v>3</v>
      </c>
    </row>
    <row r="1192" spans="1:9" x14ac:dyDescent="0.3">
      <c r="A1192" t="s">
        <v>2405</v>
      </c>
      <c r="B1192" t="s">
        <v>2406</v>
      </c>
      <c r="C1192" t="s">
        <v>41</v>
      </c>
      <c r="D1192" t="s">
        <v>31</v>
      </c>
      <c r="E1192" s="5">
        <v>45461</v>
      </c>
      <c r="F1192">
        <v>8</v>
      </c>
      <c r="G1192" t="s">
        <v>18</v>
      </c>
      <c r="H1192" s="6">
        <v>45461</v>
      </c>
      <c r="I1192">
        <v>5</v>
      </c>
    </row>
    <row r="1193" spans="1:9" x14ac:dyDescent="0.3">
      <c r="A1193" t="s">
        <v>2407</v>
      </c>
      <c r="B1193" t="s">
        <v>2408</v>
      </c>
      <c r="C1193" t="s">
        <v>28</v>
      </c>
      <c r="D1193" t="s">
        <v>12</v>
      </c>
      <c r="E1193" s="5">
        <v>45355</v>
      </c>
      <c r="F1193">
        <v>50</v>
      </c>
      <c r="G1193" t="s">
        <v>18</v>
      </c>
      <c r="H1193" s="6">
        <v>45357</v>
      </c>
      <c r="I1193">
        <v>1</v>
      </c>
    </row>
    <row r="1194" spans="1:9" x14ac:dyDescent="0.3">
      <c r="A1194" t="s">
        <v>2409</v>
      </c>
      <c r="B1194" t="s">
        <v>2410</v>
      </c>
      <c r="C1194" t="s">
        <v>35</v>
      </c>
      <c r="D1194" t="s">
        <v>31</v>
      </c>
      <c r="E1194" s="5">
        <v>45579</v>
      </c>
      <c r="F1194">
        <v>21</v>
      </c>
      <c r="G1194" t="s">
        <v>18</v>
      </c>
      <c r="H1194" s="6">
        <v>45579</v>
      </c>
      <c r="I1194">
        <v>3</v>
      </c>
    </row>
    <row r="1195" spans="1:9" x14ac:dyDescent="0.3">
      <c r="A1195" t="s">
        <v>2411</v>
      </c>
      <c r="B1195" t="s">
        <v>2412</v>
      </c>
      <c r="C1195" t="s">
        <v>52</v>
      </c>
      <c r="D1195" t="s">
        <v>23</v>
      </c>
      <c r="E1195" s="5">
        <v>45381</v>
      </c>
      <c r="F1195">
        <v>16</v>
      </c>
      <c r="G1195" t="s">
        <v>18</v>
      </c>
      <c r="H1195" s="6">
        <v>45381</v>
      </c>
      <c r="I1195">
        <v>3</v>
      </c>
    </row>
    <row r="1196" spans="1:9" x14ac:dyDescent="0.3">
      <c r="A1196" t="s">
        <v>2413</v>
      </c>
      <c r="B1196" t="s">
        <v>2414</v>
      </c>
      <c r="C1196" t="s">
        <v>16</v>
      </c>
      <c r="D1196" t="s">
        <v>69</v>
      </c>
      <c r="E1196" s="5">
        <v>45421</v>
      </c>
      <c r="F1196">
        <v>18</v>
      </c>
      <c r="G1196" t="s">
        <v>32</v>
      </c>
      <c r="H1196" s="6"/>
    </row>
    <row r="1197" spans="1:9" x14ac:dyDescent="0.3">
      <c r="A1197" t="s">
        <v>2415</v>
      </c>
      <c r="B1197" t="s">
        <v>2416</v>
      </c>
      <c r="C1197" t="s">
        <v>38</v>
      </c>
      <c r="D1197" t="s">
        <v>17</v>
      </c>
      <c r="E1197" s="5">
        <v>45388</v>
      </c>
      <c r="F1197">
        <v>22</v>
      </c>
      <c r="G1197" t="s">
        <v>18</v>
      </c>
      <c r="H1197" s="6">
        <v>45388</v>
      </c>
      <c r="I1197">
        <v>5</v>
      </c>
    </row>
    <row r="1198" spans="1:9" x14ac:dyDescent="0.3">
      <c r="A1198" t="s">
        <v>2417</v>
      </c>
      <c r="B1198" t="s">
        <v>2418</v>
      </c>
      <c r="C1198" t="s">
        <v>52</v>
      </c>
      <c r="D1198" t="s">
        <v>23</v>
      </c>
      <c r="E1198" s="5">
        <v>45482</v>
      </c>
      <c r="F1198">
        <v>3</v>
      </c>
      <c r="G1198" t="s">
        <v>13</v>
      </c>
      <c r="H1198" s="6"/>
    </row>
    <row r="1199" spans="1:9" x14ac:dyDescent="0.3">
      <c r="A1199" t="s">
        <v>2419</v>
      </c>
      <c r="B1199" t="s">
        <v>2420</v>
      </c>
      <c r="C1199" t="s">
        <v>41</v>
      </c>
      <c r="D1199" t="s">
        <v>23</v>
      </c>
      <c r="E1199" s="5">
        <v>45520</v>
      </c>
      <c r="F1199">
        <v>12</v>
      </c>
      <c r="G1199" t="s">
        <v>18</v>
      </c>
      <c r="H1199" s="6">
        <v>45520</v>
      </c>
      <c r="I1199">
        <v>4</v>
      </c>
    </row>
    <row r="1200" spans="1:9" x14ac:dyDescent="0.3">
      <c r="A1200" t="s">
        <v>2421</v>
      </c>
      <c r="B1200" t="s">
        <v>2422</v>
      </c>
      <c r="C1200" t="s">
        <v>52</v>
      </c>
      <c r="D1200" t="s">
        <v>31</v>
      </c>
      <c r="E1200" s="5">
        <v>45565</v>
      </c>
      <c r="F1200">
        <v>17</v>
      </c>
      <c r="G1200" t="s">
        <v>13</v>
      </c>
      <c r="H1200" s="6"/>
    </row>
    <row r="1201" spans="1:9" x14ac:dyDescent="0.3">
      <c r="A1201" t="s">
        <v>2423</v>
      </c>
      <c r="B1201" t="s">
        <v>2424</v>
      </c>
      <c r="C1201" t="s">
        <v>35</v>
      </c>
      <c r="D1201" t="s">
        <v>23</v>
      </c>
      <c r="E1201" s="5">
        <v>45476</v>
      </c>
      <c r="F1201">
        <v>23</v>
      </c>
      <c r="G1201" t="s">
        <v>18</v>
      </c>
      <c r="H1201" s="6">
        <v>45476</v>
      </c>
      <c r="I1201">
        <v>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ACDDB-79CE-4105-A69A-A6F971084D66}">
  <dimension ref="B2:I38"/>
  <sheetViews>
    <sheetView topLeftCell="A19" workbookViewId="0">
      <selection activeCell="I38" sqref="I38"/>
    </sheetView>
  </sheetViews>
  <sheetFormatPr defaultRowHeight="14.4" x14ac:dyDescent="0.3"/>
  <cols>
    <col min="2" max="2" width="12.5546875" bestFit="1" customWidth="1"/>
    <col min="3" max="3" width="19.88671875" bestFit="1" customWidth="1"/>
    <col min="4" max="4" width="15.88671875" bestFit="1" customWidth="1"/>
    <col min="5" max="5" width="12.5546875" bestFit="1" customWidth="1"/>
    <col min="6" max="6" width="20.44140625" bestFit="1" customWidth="1"/>
    <col min="7" max="7" width="10.33203125" bestFit="1" customWidth="1"/>
    <col min="8" max="8" width="12.5546875" bestFit="1" customWidth="1"/>
    <col min="9" max="9" width="31" bestFit="1" customWidth="1"/>
    <col min="10" max="352" width="10.33203125" bestFit="1" customWidth="1"/>
    <col min="353" max="438" width="10.77734375" bestFit="1" customWidth="1"/>
    <col min="439" max="1202" width="15.88671875" bestFit="1" customWidth="1"/>
    <col min="1203" max="1203" width="10.77734375" bestFit="1" customWidth="1"/>
  </cols>
  <sheetData>
    <row r="2" spans="2:9" x14ac:dyDescent="0.3">
      <c r="B2" t="s">
        <v>2428</v>
      </c>
      <c r="E2" t="s">
        <v>2429</v>
      </c>
      <c r="H2" t="s">
        <v>2431</v>
      </c>
    </row>
    <row r="4" spans="2:9" x14ac:dyDescent="0.3">
      <c r="B4" s="2" t="s">
        <v>2425</v>
      </c>
      <c r="C4" t="s">
        <v>2427</v>
      </c>
      <c r="E4" s="2" t="s">
        <v>2425</v>
      </c>
      <c r="F4" t="s">
        <v>2427</v>
      </c>
      <c r="H4" s="2" t="s">
        <v>2425</v>
      </c>
      <c r="I4" t="s">
        <v>2432</v>
      </c>
    </row>
    <row r="5" spans="2:9" x14ac:dyDescent="0.3">
      <c r="B5" s="3" t="s">
        <v>78</v>
      </c>
      <c r="C5" s="11">
        <v>131</v>
      </c>
      <c r="E5" s="3" t="s">
        <v>13</v>
      </c>
      <c r="F5" s="11">
        <v>241</v>
      </c>
      <c r="H5" s="3" t="s">
        <v>17</v>
      </c>
      <c r="I5" s="4">
        <v>27.386831275720166</v>
      </c>
    </row>
    <row r="6" spans="2:9" x14ac:dyDescent="0.3">
      <c r="B6" s="3" t="s">
        <v>11</v>
      </c>
      <c r="C6" s="11">
        <v>147</v>
      </c>
      <c r="E6" s="3" t="s">
        <v>32</v>
      </c>
      <c r="F6" s="11">
        <v>176</v>
      </c>
      <c r="H6" s="3" t="s">
        <v>23</v>
      </c>
      <c r="I6" s="4">
        <v>25.213991769547324</v>
      </c>
    </row>
    <row r="7" spans="2:9" x14ac:dyDescent="0.3">
      <c r="B7" s="3" t="s">
        <v>52</v>
      </c>
      <c r="C7" s="11">
        <v>161</v>
      </c>
      <c r="E7" s="3" t="s">
        <v>18</v>
      </c>
      <c r="F7" s="11">
        <v>783</v>
      </c>
      <c r="H7" s="3" t="s">
        <v>12</v>
      </c>
      <c r="I7" s="4">
        <v>28.101214574898787</v>
      </c>
    </row>
    <row r="8" spans="2:9" x14ac:dyDescent="0.3">
      <c r="B8" s="3" t="s">
        <v>28</v>
      </c>
      <c r="C8" s="11">
        <v>165</v>
      </c>
      <c r="E8" s="3" t="s">
        <v>2426</v>
      </c>
      <c r="F8" s="11">
        <v>1200</v>
      </c>
      <c r="H8" s="3" t="s">
        <v>69</v>
      </c>
      <c r="I8" s="4">
        <v>28.59009009009009</v>
      </c>
    </row>
    <row r="9" spans="2:9" x14ac:dyDescent="0.3">
      <c r="B9" s="3" t="s">
        <v>16</v>
      </c>
      <c r="C9" s="11">
        <v>149</v>
      </c>
      <c r="H9" s="3" t="s">
        <v>31</v>
      </c>
      <c r="I9" s="4">
        <v>29.277551020408165</v>
      </c>
    </row>
    <row r="10" spans="2:9" x14ac:dyDescent="0.3">
      <c r="B10" s="3" t="s">
        <v>38</v>
      </c>
      <c r="C10" s="11">
        <v>147</v>
      </c>
      <c r="H10" s="3" t="s">
        <v>2426</v>
      </c>
      <c r="I10" s="4">
        <v>27.702500000000001</v>
      </c>
    </row>
    <row r="11" spans="2:9" x14ac:dyDescent="0.3">
      <c r="B11" s="3" t="s">
        <v>35</v>
      </c>
      <c r="C11" s="11">
        <v>152</v>
      </c>
    </row>
    <row r="12" spans="2:9" x14ac:dyDescent="0.3">
      <c r="B12" s="3" t="s">
        <v>41</v>
      </c>
      <c r="C12" s="11">
        <v>148</v>
      </c>
    </row>
    <row r="13" spans="2:9" x14ac:dyDescent="0.3">
      <c r="B13" s="3" t="s">
        <v>2426</v>
      </c>
      <c r="C13" s="11">
        <v>1200</v>
      </c>
    </row>
    <row r="16" spans="2:9" x14ac:dyDescent="0.3">
      <c r="B16" t="s">
        <v>2433</v>
      </c>
      <c r="E16" t="s">
        <v>2435</v>
      </c>
    </row>
    <row r="18" spans="2:6" x14ac:dyDescent="0.3">
      <c r="B18" s="2" t="s">
        <v>2425</v>
      </c>
      <c r="C18" t="s">
        <v>2430</v>
      </c>
      <c r="E18" s="2" t="s">
        <v>2425</v>
      </c>
      <c r="F18" t="s">
        <v>2427</v>
      </c>
    </row>
    <row r="19" spans="2:6" x14ac:dyDescent="0.3">
      <c r="B19" s="3">
        <v>1</v>
      </c>
      <c r="C19" s="11">
        <v>111</v>
      </c>
      <c r="E19" s="3" t="s">
        <v>2440</v>
      </c>
      <c r="F19" s="11">
        <v>109</v>
      </c>
    </row>
    <row r="20" spans="2:6" x14ac:dyDescent="0.3">
      <c r="B20" s="3">
        <v>2</v>
      </c>
      <c r="C20" s="11">
        <v>158</v>
      </c>
      <c r="E20" s="3" t="s">
        <v>2441</v>
      </c>
      <c r="F20" s="11">
        <v>95</v>
      </c>
    </row>
    <row r="21" spans="2:6" x14ac:dyDescent="0.3">
      <c r="B21" s="3">
        <v>3</v>
      </c>
      <c r="C21" s="11">
        <v>158</v>
      </c>
      <c r="E21" s="3" t="s">
        <v>2434</v>
      </c>
      <c r="F21" s="11">
        <v>117</v>
      </c>
    </row>
    <row r="22" spans="2:6" x14ac:dyDescent="0.3">
      <c r="B22" s="3">
        <v>4</v>
      </c>
      <c r="C22" s="11">
        <v>158</v>
      </c>
      <c r="E22" s="3" t="s">
        <v>2442</v>
      </c>
      <c r="F22" s="11">
        <v>91</v>
      </c>
    </row>
    <row r="23" spans="2:6" x14ac:dyDescent="0.3">
      <c r="B23" s="3">
        <v>5</v>
      </c>
      <c r="C23" s="11">
        <v>198</v>
      </c>
      <c r="E23" s="3" t="s">
        <v>2443</v>
      </c>
      <c r="F23" s="11">
        <v>91</v>
      </c>
    </row>
    <row r="24" spans="2:6" x14ac:dyDescent="0.3">
      <c r="B24" s="3" t="s">
        <v>2426</v>
      </c>
      <c r="C24" s="11">
        <v>783</v>
      </c>
      <c r="E24" s="3" t="s">
        <v>2444</v>
      </c>
      <c r="F24" s="11">
        <v>90</v>
      </c>
    </row>
    <row r="25" spans="2:6" x14ac:dyDescent="0.3">
      <c r="E25" s="3" t="s">
        <v>2445</v>
      </c>
      <c r="F25" s="11">
        <v>99</v>
      </c>
    </row>
    <row r="26" spans="2:6" x14ac:dyDescent="0.3">
      <c r="E26" s="3" t="s">
        <v>2446</v>
      </c>
      <c r="F26" s="11">
        <v>111</v>
      </c>
    </row>
    <row r="27" spans="2:6" x14ac:dyDescent="0.3">
      <c r="E27" s="3" t="s">
        <v>2447</v>
      </c>
      <c r="F27" s="11">
        <v>101</v>
      </c>
    </row>
    <row r="28" spans="2:6" x14ac:dyDescent="0.3">
      <c r="E28" s="3" t="s">
        <v>2448</v>
      </c>
      <c r="F28" s="11">
        <v>91</v>
      </c>
    </row>
    <row r="29" spans="2:6" x14ac:dyDescent="0.3">
      <c r="E29" s="3" t="s">
        <v>2449</v>
      </c>
      <c r="F29" s="11">
        <v>95</v>
      </c>
    </row>
    <row r="30" spans="2:6" x14ac:dyDescent="0.3">
      <c r="E30" s="3" t="s">
        <v>2450</v>
      </c>
      <c r="F30" s="11">
        <v>110</v>
      </c>
    </row>
    <row r="31" spans="2:6" x14ac:dyDescent="0.3">
      <c r="E31" s="3" t="s">
        <v>2426</v>
      </c>
      <c r="F31" s="11">
        <v>1200</v>
      </c>
    </row>
    <row r="35" spans="8:9" x14ac:dyDescent="0.3">
      <c r="H35" t="s">
        <v>2436</v>
      </c>
      <c r="I35">
        <f>IFERROR(GETPIVOTDATA("Complaint_ID",$B$4),0)</f>
        <v>1200</v>
      </c>
    </row>
    <row r="36" spans="8:9" x14ac:dyDescent="0.3">
      <c r="H36" t="s">
        <v>2437</v>
      </c>
      <c r="I36">
        <f>IFERROR(GETPIVOTDATA("Complaint_ID",$E$4,"Resolution_Status","Resolved"),0)</f>
        <v>783</v>
      </c>
    </row>
    <row r="37" spans="8:9" x14ac:dyDescent="0.3">
      <c r="H37" t="s">
        <v>2438</v>
      </c>
      <c r="I37" s="4">
        <f>IFERROR(SUMPRODUCT(B19:B23,C19:C23)/SUM(C19:C23),0)</f>
        <v>3.2222222222222223</v>
      </c>
    </row>
    <row r="38" spans="8:9" x14ac:dyDescent="0.3">
      <c r="H38" t="s">
        <v>2439</v>
      </c>
      <c r="I38" s="4">
        <f>IFERROR(GETPIVOTDATA("Resolution_Time_Hours",$H$4),0)</f>
        <v>27.702500000000001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75EF4-A77C-492A-B3C9-A41DEBA342E3}">
  <dimension ref="A1:W39"/>
  <sheetViews>
    <sheetView showGridLines="0" tabSelected="1" workbookViewId="0">
      <selection activeCell="W23" sqref="W23"/>
    </sheetView>
  </sheetViews>
  <sheetFormatPr defaultRowHeight="14.4" x14ac:dyDescent="0.3"/>
  <sheetData>
    <row r="1" spans="1:23" x14ac:dyDescent="0.3">
      <c r="A1" s="8"/>
      <c r="B1" s="8"/>
      <c r="C1" s="8"/>
      <c r="D1" s="8"/>
      <c r="E1" s="8"/>
      <c r="F1" s="8"/>
      <c r="G1" s="8"/>
      <c r="H1" s="8"/>
      <c r="I1" s="8"/>
      <c r="J1" s="8"/>
      <c r="K1" s="8"/>
      <c r="L1" s="8"/>
      <c r="M1" s="8"/>
      <c r="N1" s="8"/>
      <c r="O1" s="8"/>
      <c r="P1" s="8"/>
      <c r="Q1" s="8"/>
      <c r="R1" s="8"/>
      <c r="S1" s="8"/>
      <c r="T1" s="8"/>
      <c r="U1" s="8"/>
      <c r="V1" s="8"/>
      <c r="W1" s="8"/>
    </row>
    <row r="2" spans="1:23" x14ac:dyDescent="0.3">
      <c r="A2" s="8"/>
      <c r="B2" s="8"/>
      <c r="C2" s="8"/>
      <c r="D2" s="8"/>
      <c r="E2" s="8"/>
      <c r="F2" s="8"/>
      <c r="G2" s="8"/>
      <c r="H2" s="8"/>
      <c r="I2" s="8"/>
      <c r="J2" s="8"/>
      <c r="K2" s="8"/>
      <c r="L2" s="8"/>
      <c r="M2" s="8"/>
      <c r="N2" s="8"/>
      <c r="O2" s="8"/>
      <c r="P2" s="8"/>
      <c r="Q2" s="8"/>
      <c r="R2" s="8"/>
      <c r="S2" s="8"/>
      <c r="T2" s="8"/>
      <c r="U2" s="8"/>
      <c r="V2" s="8"/>
      <c r="W2" s="8"/>
    </row>
    <row r="3" spans="1:23" x14ac:dyDescent="0.3">
      <c r="A3" s="8"/>
      <c r="B3" s="8"/>
      <c r="C3" s="8"/>
      <c r="D3" s="8"/>
      <c r="E3" s="8"/>
      <c r="F3" s="8"/>
      <c r="G3" s="8"/>
      <c r="H3" s="8"/>
      <c r="I3" s="8"/>
      <c r="J3" s="8"/>
      <c r="K3" s="8"/>
      <c r="L3" s="8"/>
      <c r="M3" s="8"/>
      <c r="N3" s="8"/>
      <c r="O3" s="8"/>
      <c r="P3" s="8"/>
      <c r="Q3" s="8"/>
      <c r="R3" s="8"/>
      <c r="S3" s="8"/>
      <c r="T3" s="8"/>
      <c r="U3" s="8"/>
      <c r="V3" s="8"/>
      <c r="W3" s="8"/>
    </row>
    <row r="4" spans="1:23" x14ac:dyDescent="0.3">
      <c r="A4" s="8"/>
      <c r="B4" s="8"/>
      <c r="C4" s="8"/>
      <c r="D4" s="8"/>
      <c r="E4" s="8"/>
      <c r="F4" s="8"/>
      <c r="G4" s="8"/>
      <c r="H4" s="8"/>
      <c r="I4" s="8"/>
      <c r="J4" s="8"/>
      <c r="K4" s="8"/>
      <c r="L4" s="8"/>
      <c r="M4" s="8"/>
      <c r="N4" s="8"/>
      <c r="O4" s="8"/>
      <c r="P4" s="8"/>
      <c r="Q4" s="8"/>
      <c r="R4" s="8"/>
      <c r="S4" s="8"/>
      <c r="T4" s="8"/>
      <c r="U4" s="8"/>
      <c r="V4" s="8"/>
      <c r="W4" s="8"/>
    </row>
    <row r="5" spans="1:23" x14ac:dyDescent="0.3">
      <c r="A5" s="8"/>
      <c r="B5" s="8"/>
      <c r="C5" s="8"/>
      <c r="D5" s="8"/>
      <c r="E5" s="8"/>
      <c r="F5" s="8"/>
      <c r="G5" s="8"/>
      <c r="H5" s="8"/>
      <c r="I5" s="8"/>
      <c r="J5" s="8"/>
      <c r="K5" s="8"/>
      <c r="L5" s="8"/>
      <c r="M5" s="8"/>
      <c r="N5" s="8"/>
      <c r="O5" s="8"/>
      <c r="P5" s="8"/>
      <c r="Q5" s="8"/>
      <c r="R5" s="8"/>
      <c r="S5" s="8"/>
      <c r="T5" s="8"/>
      <c r="U5" s="8"/>
      <c r="V5" s="8"/>
      <c r="W5" s="8"/>
    </row>
    <row r="6" spans="1:23" x14ac:dyDescent="0.3">
      <c r="A6" s="8"/>
      <c r="B6" s="8"/>
      <c r="C6" s="8"/>
      <c r="D6" s="8"/>
      <c r="E6" s="8"/>
      <c r="F6" s="8"/>
      <c r="G6" s="8"/>
      <c r="H6" s="8"/>
      <c r="I6" s="8"/>
      <c r="J6" s="8"/>
      <c r="K6" s="8"/>
      <c r="L6" s="8"/>
      <c r="M6" s="8"/>
      <c r="N6" s="8"/>
      <c r="O6" s="8"/>
      <c r="P6" s="8"/>
      <c r="Q6" s="8"/>
      <c r="R6" s="8"/>
      <c r="S6" s="8"/>
      <c r="T6" s="8"/>
      <c r="U6" s="8"/>
      <c r="V6" s="8"/>
      <c r="W6" s="8"/>
    </row>
    <row r="7" spans="1:23" x14ac:dyDescent="0.3">
      <c r="A7" s="8"/>
      <c r="B7" s="8"/>
      <c r="C7" s="8"/>
      <c r="D7" s="8"/>
      <c r="E7" s="8"/>
      <c r="F7" s="8"/>
      <c r="G7" s="8"/>
      <c r="H7" s="8"/>
      <c r="I7" s="8"/>
      <c r="J7" s="8"/>
      <c r="K7" s="8"/>
      <c r="L7" s="8"/>
      <c r="M7" s="8"/>
      <c r="N7" s="8"/>
      <c r="O7" s="8"/>
      <c r="P7" s="8"/>
      <c r="Q7" s="8"/>
      <c r="R7" s="8"/>
      <c r="S7" s="8"/>
      <c r="T7" s="8"/>
      <c r="U7" s="8"/>
      <c r="V7" s="8"/>
      <c r="W7" s="8"/>
    </row>
    <row r="8" spans="1:23" x14ac:dyDescent="0.3">
      <c r="A8" s="8"/>
      <c r="B8" s="8"/>
      <c r="C8" s="8"/>
      <c r="D8" s="8"/>
      <c r="E8" s="8"/>
      <c r="F8" s="8"/>
      <c r="G8" s="8"/>
      <c r="H8" s="8"/>
      <c r="I8" s="8"/>
      <c r="J8" s="8"/>
      <c r="K8" s="8"/>
      <c r="L8" s="8"/>
      <c r="M8" s="8"/>
      <c r="N8" s="8"/>
      <c r="O8" s="8"/>
      <c r="P8" s="8"/>
      <c r="Q8" s="8"/>
      <c r="R8" s="8"/>
      <c r="S8" s="8"/>
      <c r="T8" s="8"/>
      <c r="U8" s="8"/>
      <c r="V8" s="8"/>
      <c r="W8" s="8"/>
    </row>
    <row r="9" spans="1:23" x14ac:dyDescent="0.3">
      <c r="A9" s="8"/>
      <c r="B9" s="8"/>
      <c r="C9" s="8"/>
      <c r="D9" s="8"/>
      <c r="E9" s="8"/>
      <c r="F9" s="8"/>
      <c r="G9" s="8"/>
      <c r="H9" s="8"/>
      <c r="I9" s="8"/>
      <c r="J9" s="8"/>
      <c r="K9" s="8"/>
      <c r="L9" s="8"/>
      <c r="M9" s="8"/>
      <c r="N9" s="8"/>
      <c r="O9" s="8"/>
      <c r="P9" s="8"/>
      <c r="Q9" s="8"/>
      <c r="R9" s="8"/>
      <c r="S9" s="8"/>
      <c r="T9" s="8"/>
      <c r="U9" s="8"/>
      <c r="V9" s="8"/>
      <c r="W9" s="8"/>
    </row>
    <row r="10" spans="1:23" x14ac:dyDescent="0.3">
      <c r="A10" s="8"/>
      <c r="B10" s="8"/>
      <c r="C10" s="8"/>
      <c r="D10" s="8"/>
      <c r="E10" s="8"/>
      <c r="F10" s="8"/>
      <c r="G10" s="8"/>
      <c r="H10" s="8"/>
      <c r="I10" s="8"/>
      <c r="J10" s="8"/>
      <c r="K10" s="8"/>
      <c r="L10" s="8"/>
      <c r="M10" s="8"/>
      <c r="N10" s="8"/>
      <c r="O10" s="8"/>
      <c r="P10" s="8"/>
      <c r="Q10" s="8"/>
      <c r="R10" s="8"/>
      <c r="S10" s="8"/>
      <c r="T10" s="8"/>
      <c r="U10" s="8"/>
      <c r="V10" s="8"/>
      <c r="W10" s="8"/>
    </row>
    <row r="11" spans="1:23" x14ac:dyDescent="0.3">
      <c r="A11" s="8"/>
      <c r="B11" s="8"/>
      <c r="C11" s="8"/>
      <c r="D11" s="8"/>
      <c r="E11" s="8"/>
      <c r="F11" s="8"/>
      <c r="G11" s="8"/>
      <c r="H11" s="8"/>
      <c r="I11" s="8"/>
      <c r="J11" s="8"/>
      <c r="K11" s="8"/>
      <c r="L11" s="8"/>
      <c r="M11" s="8"/>
      <c r="N11" s="8"/>
      <c r="O11" s="8"/>
      <c r="P11" s="8"/>
      <c r="Q11" s="8"/>
      <c r="R11" s="8"/>
      <c r="S11" s="8"/>
      <c r="T11" s="8"/>
      <c r="U11" s="8"/>
      <c r="V11" s="8"/>
      <c r="W11" s="8"/>
    </row>
    <row r="12" spans="1:23" x14ac:dyDescent="0.3">
      <c r="A12" s="8"/>
      <c r="B12" s="8"/>
      <c r="C12" s="8"/>
      <c r="D12" s="8"/>
      <c r="E12" s="8"/>
      <c r="F12" s="8"/>
      <c r="G12" s="8"/>
      <c r="H12" s="8"/>
      <c r="I12" s="8"/>
      <c r="J12" s="8"/>
      <c r="K12" s="8"/>
      <c r="L12" s="8"/>
      <c r="M12" s="8"/>
      <c r="N12" s="8"/>
      <c r="O12" s="8"/>
      <c r="P12" s="8"/>
      <c r="Q12" s="8"/>
      <c r="R12" s="8"/>
      <c r="S12" s="8"/>
      <c r="T12" s="8"/>
      <c r="U12" s="8"/>
      <c r="V12" s="8"/>
      <c r="W12" s="8"/>
    </row>
    <row r="13" spans="1:23" x14ac:dyDescent="0.3">
      <c r="A13" s="8"/>
      <c r="B13" s="8"/>
      <c r="C13" s="8"/>
      <c r="D13" s="8"/>
      <c r="E13" s="8"/>
      <c r="F13" s="8"/>
      <c r="G13" s="8"/>
      <c r="H13" s="8"/>
      <c r="I13" s="8"/>
      <c r="J13" s="8"/>
      <c r="K13" s="8"/>
      <c r="L13" s="8"/>
      <c r="M13" s="8"/>
      <c r="N13" s="8"/>
      <c r="O13" s="8"/>
      <c r="P13" s="8"/>
      <c r="Q13" s="8"/>
      <c r="R13" s="8"/>
      <c r="S13" s="8"/>
      <c r="T13" s="8"/>
      <c r="U13" s="8"/>
      <c r="V13" s="8"/>
      <c r="W13" s="8"/>
    </row>
    <row r="14" spans="1:23" x14ac:dyDescent="0.3">
      <c r="A14" s="8"/>
      <c r="B14" s="8"/>
      <c r="C14" s="8"/>
      <c r="D14" s="8"/>
      <c r="E14" s="8"/>
      <c r="F14" s="8"/>
      <c r="G14" s="8"/>
      <c r="H14" s="8"/>
      <c r="I14" s="8"/>
      <c r="J14" s="8"/>
      <c r="K14" s="8"/>
      <c r="L14" s="8"/>
      <c r="M14" s="8"/>
      <c r="N14" s="8"/>
      <c r="O14" s="8"/>
      <c r="P14" s="8"/>
      <c r="Q14" s="8"/>
      <c r="R14" s="8"/>
      <c r="S14" s="8"/>
      <c r="T14" s="8"/>
      <c r="U14" s="8"/>
      <c r="V14" s="8"/>
      <c r="W14" s="8"/>
    </row>
    <row r="15" spans="1:23" x14ac:dyDescent="0.3">
      <c r="A15" s="8"/>
      <c r="B15" s="8"/>
      <c r="C15" s="8"/>
      <c r="D15" s="8"/>
      <c r="E15" s="8"/>
      <c r="F15" s="8"/>
      <c r="G15" s="8"/>
      <c r="H15" s="8"/>
      <c r="I15" s="8"/>
      <c r="J15" s="8"/>
      <c r="K15" s="8"/>
      <c r="L15" s="8"/>
      <c r="M15" s="8"/>
      <c r="N15" s="8"/>
      <c r="O15" s="8"/>
      <c r="P15" s="8"/>
      <c r="Q15" s="8"/>
      <c r="R15" s="8"/>
      <c r="S15" s="8"/>
      <c r="T15" s="8"/>
      <c r="U15" s="8"/>
      <c r="V15" s="8"/>
      <c r="W15" s="8"/>
    </row>
    <row r="16" spans="1:23" x14ac:dyDescent="0.3">
      <c r="A16" s="8"/>
      <c r="B16" s="8"/>
      <c r="C16" s="8"/>
      <c r="D16" s="8"/>
      <c r="E16" s="8"/>
      <c r="F16" s="8"/>
      <c r="G16" s="8"/>
      <c r="H16" s="8"/>
      <c r="I16" s="8"/>
      <c r="J16" s="8"/>
      <c r="K16" s="8"/>
      <c r="L16" s="8"/>
      <c r="M16" s="8"/>
      <c r="N16" s="8"/>
      <c r="O16" s="8"/>
      <c r="P16" s="8"/>
      <c r="Q16" s="8"/>
      <c r="R16" s="8"/>
      <c r="S16" s="8"/>
      <c r="T16" s="8"/>
      <c r="U16" s="8"/>
      <c r="V16" s="8"/>
      <c r="W16" s="8"/>
    </row>
    <row r="17" spans="1:23" x14ac:dyDescent="0.3">
      <c r="A17" s="8"/>
      <c r="B17" s="8"/>
      <c r="C17" s="8"/>
      <c r="D17" s="8"/>
      <c r="E17" s="8"/>
      <c r="F17" s="8"/>
      <c r="G17" s="8"/>
      <c r="H17" s="8"/>
      <c r="I17" s="8"/>
      <c r="J17" s="8"/>
      <c r="K17" s="8"/>
      <c r="L17" s="8"/>
      <c r="M17" s="8"/>
      <c r="N17" s="8"/>
      <c r="O17" s="8"/>
      <c r="P17" s="8"/>
      <c r="Q17" s="8"/>
      <c r="R17" s="8"/>
      <c r="S17" s="8"/>
      <c r="T17" s="8"/>
      <c r="U17" s="8"/>
      <c r="V17" s="8"/>
      <c r="W17" s="8"/>
    </row>
    <row r="18" spans="1:23" x14ac:dyDescent="0.3">
      <c r="A18" s="8"/>
      <c r="B18" s="8"/>
      <c r="C18" s="8"/>
      <c r="D18" s="8"/>
      <c r="E18" s="8"/>
      <c r="F18" s="8"/>
      <c r="G18" s="8"/>
      <c r="H18" s="8"/>
      <c r="I18" s="8"/>
      <c r="J18" s="8"/>
      <c r="K18" s="8"/>
      <c r="L18" s="8"/>
      <c r="M18" s="8"/>
      <c r="N18" s="8"/>
      <c r="O18" s="8"/>
      <c r="P18" s="8"/>
      <c r="Q18" s="8"/>
      <c r="R18" s="8"/>
      <c r="S18" s="8"/>
      <c r="T18" s="8"/>
      <c r="U18" s="8"/>
      <c r="V18" s="8"/>
      <c r="W18" s="8"/>
    </row>
    <row r="19" spans="1:23" x14ac:dyDescent="0.3">
      <c r="A19" s="8"/>
      <c r="B19" s="8"/>
      <c r="C19" s="8"/>
      <c r="D19" s="8"/>
      <c r="E19" s="8"/>
      <c r="F19" s="8"/>
      <c r="G19" s="8"/>
      <c r="H19" s="8"/>
      <c r="I19" s="8"/>
      <c r="J19" s="8"/>
      <c r="K19" s="8"/>
      <c r="L19" s="8"/>
      <c r="M19" s="8"/>
      <c r="N19" s="8"/>
      <c r="O19" s="8"/>
      <c r="P19" s="8"/>
      <c r="Q19" s="8"/>
      <c r="R19" s="8"/>
      <c r="S19" s="8"/>
      <c r="T19" s="8"/>
      <c r="U19" s="8"/>
      <c r="V19" s="8"/>
      <c r="W19" s="8"/>
    </row>
    <row r="20" spans="1:23" x14ac:dyDescent="0.3">
      <c r="A20" s="8"/>
      <c r="B20" s="8"/>
      <c r="C20" s="8"/>
      <c r="D20" s="8"/>
      <c r="E20" s="8"/>
      <c r="F20" s="8"/>
      <c r="G20" s="8"/>
      <c r="H20" s="8"/>
      <c r="I20" s="8"/>
      <c r="J20" s="8"/>
      <c r="K20" s="8"/>
      <c r="L20" s="8"/>
      <c r="M20" s="8"/>
      <c r="N20" s="8"/>
      <c r="O20" s="8"/>
      <c r="P20" s="8"/>
      <c r="Q20" s="8"/>
      <c r="R20" s="8"/>
      <c r="S20" s="8"/>
      <c r="T20" s="8"/>
      <c r="U20" s="8"/>
      <c r="V20" s="8"/>
      <c r="W20" s="8"/>
    </row>
    <row r="21" spans="1:23" x14ac:dyDescent="0.3">
      <c r="A21" s="8"/>
      <c r="B21" s="8"/>
      <c r="C21" s="8"/>
      <c r="D21" s="8"/>
      <c r="E21" s="8"/>
      <c r="F21" s="8"/>
      <c r="G21" s="8"/>
      <c r="H21" s="8"/>
      <c r="I21" s="8"/>
      <c r="J21" s="8"/>
      <c r="K21" s="8"/>
      <c r="L21" s="8"/>
      <c r="M21" s="8"/>
      <c r="N21" s="8"/>
      <c r="O21" s="8"/>
      <c r="P21" s="8"/>
      <c r="Q21" s="8"/>
      <c r="R21" s="8"/>
      <c r="S21" s="8"/>
      <c r="T21" s="8"/>
      <c r="U21" s="8"/>
      <c r="V21" s="8"/>
      <c r="W21" s="8"/>
    </row>
    <row r="22" spans="1:23" x14ac:dyDescent="0.3">
      <c r="A22" s="8"/>
      <c r="B22" s="8"/>
      <c r="C22" s="8"/>
      <c r="D22" s="8"/>
      <c r="E22" s="8"/>
      <c r="F22" s="8"/>
      <c r="G22" s="8"/>
      <c r="H22" s="8"/>
      <c r="I22" s="8"/>
      <c r="J22" s="8"/>
      <c r="K22" s="8"/>
      <c r="L22" s="8"/>
      <c r="M22" s="8"/>
      <c r="N22" s="8"/>
      <c r="O22" s="8"/>
      <c r="P22" s="8"/>
      <c r="Q22" s="8"/>
      <c r="R22" s="8"/>
      <c r="S22" s="8"/>
      <c r="T22" s="8"/>
      <c r="U22" s="8"/>
      <c r="V22" s="8"/>
      <c r="W22" s="8"/>
    </row>
    <row r="23" spans="1:23" x14ac:dyDescent="0.3">
      <c r="A23" s="8"/>
      <c r="B23" s="8"/>
      <c r="C23" s="8"/>
      <c r="D23" s="8"/>
      <c r="E23" s="8"/>
      <c r="F23" s="8"/>
      <c r="G23" s="8"/>
      <c r="H23" s="8"/>
      <c r="I23" s="8"/>
      <c r="J23" s="8"/>
      <c r="K23" s="8"/>
      <c r="L23" s="8"/>
      <c r="M23" s="8"/>
      <c r="N23" s="8"/>
      <c r="O23" s="8"/>
      <c r="P23" s="8"/>
      <c r="Q23" s="8"/>
      <c r="R23" s="8"/>
      <c r="S23" s="8"/>
      <c r="T23" s="8"/>
      <c r="U23" s="8"/>
      <c r="V23" s="8"/>
      <c r="W23" s="8"/>
    </row>
    <row r="24" spans="1:23" x14ac:dyDescent="0.3">
      <c r="A24" s="8"/>
      <c r="B24" s="8"/>
      <c r="C24" s="8"/>
      <c r="D24" s="8"/>
      <c r="E24" s="8"/>
      <c r="F24" s="8"/>
      <c r="G24" s="8"/>
      <c r="H24" s="8"/>
      <c r="I24" s="8"/>
      <c r="J24" s="8"/>
      <c r="K24" s="8"/>
      <c r="L24" s="8"/>
      <c r="M24" s="8"/>
      <c r="N24" s="8"/>
      <c r="O24" s="8"/>
      <c r="P24" s="8"/>
      <c r="Q24" s="8"/>
      <c r="R24" s="8"/>
      <c r="S24" s="8"/>
      <c r="T24" s="8"/>
      <c r="U24" s="8"/>
      <c r="V24" s="8"/>
      <c r="W24" s="8"/>
    </row>
    <row r="25" spans="1:23" x14ac:dyDescent="0.3">
      <c r="A25" s="8"/>
      <c r="B25" s="8"/>
      <c r="C25" s="8"/>
      <c r="D25" s="8"/>
      <c r="E25" s="8"/>
      <c r="F25" s="8"/>
      <c r="G25" s="8"/>
      <c r="H25" s="8"/>
      <c r="I25" s="8"/>
      <c r="J25" s="8"/>
      <c r="K25" s="8"/>
      <c r="L25" s="8"/>
      <c r="M25" s="8"/>
      <c r="N25" s="8"/>
      <c r="O25" s="8"/>
      <c r="P25" s="8"/>
      <c r="Q25" s="8"/>
      <c r="R25" s="8"/>
      <c r="S25" s="8"/>
      <c r="T25" s="8"/>
      <c r="U25" s="8"/>
      <c r="V25" s="8"/>
      <c r="W25" s="8"/>
    </row>
    <row r="26" spans="1:23" x14ac:dyDescent="0.3">
      <c r="A26" s="8"/>
      <c r="B26" s="8"/>
      <c r="C26" s="8"/>
      <c r="D26" s="8"/>
      <c r="E26" s="8"/>
      <c r="F26" s="8"/>
      <c r="G26" s="8"/>
      <c r="H26" s="8"/>
      <c r="I26" s="8"/>
      <c r="J26" s="8"/>
      <c r="K26" s="8"/>
      <c r="L26" s="8"/>
      <c r="M26" s="8"/>
      <c r="N26" s="8"/>
      <c r="O26" s="8"/>
      <c r="P26" s="8"/>
      <c r="Q26" s="8"/>
      <c r="R26" s="8"/>
      <c r="S26" s="8"/>
      <c r="T26" s="8"/>
      <c r="U26" s="8"/>
      <c r="V26" s="8"/>
      <c r="W26" s="8"/>
    </row>
    <row r="27" spans="1:23" x14ac:dyDescent="0.3">
      <c r="A27" s="8"/>
      <c r="B27" s="8"/>
      <c r="C27" s="8"/>
      <c r="D27" s="8"/>
      <c r="E27" s="8"/>
      <c r="F27" s="8"/>
      <c r="G27" s="8"/>
      <c r="H27" s="8"/>
      <c r="I27" s="8"/>
      <c r="J27" s="8"/>
      <c r="K27" s="8"/>
      <c r="L27" s="8"/>
      <c r="M27" s="8"/>
      <c r="N27" s="8"/>
      <c r="O27" s="8"/>
      <c r="P27" s="8"/>
      <c r="Q27" s="8"/>
      <c r="R27" s="8"/>
      <c r="S27" s="8"/>
      <c r="T27" s="8"/>
      <c r="U27" s="8"/>
      <c r="V27" s="8"/>
      <c r="W27" s="8"/>
    </row>
    <row r="28" spans="1:23" x14ac:dyDescent="0.3">
      <c r="A28" s="8"/>
      <c r="B28" s="8"/>
      <c r="C28" s="8"/>
      <c r="D28" s="8"/>
      <c r="E28" s="8"/>
      <c r="F28" s="8"/>
      <c r="G28" s="8"/>
      <c r="H28" s="8"/>
      <c r="I28" s="8"/>
      <c r="J28" s="8"/>
      <c r="K28" s="8"/>
      <c r="L28" s="8"/>
      <c r="M28" s="8"/>
      <c r="N28" s="8"/>
      <c r="O28" s="8"/>
      <c r="P28" s="8"/>
      <c r="Q28" s="8"/>
      <c r="R28" s="8"/>
      <c r="S28" s="8"/>
      <c r="T28" s="8"/>
      <c r="U28" s="8"/>
      <c r="V28" s="8"/>
      <c r="W28" s="8"/>
    </row>
    <row r="29" spans="1:23" x14ac:dyDescent="0.3">
      <c r="A29" s="8"/>
      <c r="B29" s="8"/>
      <c r="C29" s="8"/>
      <c r="D29" s="8"/>
      <c r="E29" s="8"/>
      <c r="F29" s="8"/>
      <c r="G29" s="8"/>
      <c r="H29" s="8"/>
      <c r="I29" s="8"/>
      <c r="J29" s="8"/>
      <c r="K29" s="8"/>
      <c r="L29" s="8"/>
      <c r="M29" s="8"/>
      <c r="N29" s="8"/>
      <c r="O29" s="8"/>
      <c r="P29" s="8"/>
      <c r="Q29" s="8"/>
      <c r="R29" s="8"/>
      <c r="S29" s="8"/>
      <c r="T29" s="8"/>
      <c r="U29" s="8"/>
      <c r="V29" s="8"/>
      <c r="W29" s="8"/>
    </row>
    <row r="30" spans="1:23" x14ac:dyDescent="0.3">
      <c r="A30" s="8"/>
      <c r="B30" s="8"/>
      <c r="C30" s="8"/>
      <c r="D30" s="8"/>
      <c r="E30" s="8"/>
      <c r="F30" s="8"/>
      <c r="G30" s="8"/>
      <c r="H30" s="8"/>
      <c r="I30" s="8"/>
      <c r="J30" s="8"/>
      <c r="K30" s="8"/>
      <c r="L30" s="8"/>
      <c r="M30" s="8"/>
      <c r="N30" s="8"/>
      <c r="O30" s="8"/>
      <c r="P30" s="8"/>
      <c r="Q30" s="8"/>
      <c r="R30" s="8"/>
      <c r="S30" s="8"/>
      <c r="T30" s="8"/>
      <c r="U30" s="8"/>
      <c r="V30" s="8"/>
      <c r="W30" s="8"/>
    </row>
    <row r="31" spans="1:23" x14ac:dyDescent="0.3">
      <c r="A31" s="8"/>
      <c r="B31" s="8"/>
      <c r="C31" s="8"/>
      <c r="D31" s="8"/>
      <c r="E31" s="8"/>
      <c r="F31" s="8"/>
      <c r="G31" s="8"/>
      <c r="H31" s="8"/>
      <c r="I31" s="8"/>
      <c r="J31" s="8"/>
      <c r="K31" s="8"/>
      <c r="L31" s="8"/>
      <c r="M31" s="8"/>
      <c r="N31" s="8"/>
      <c r="O31" s="8"/>
      <c r="P31" s="8"/>
      <c r="Q31" s="8"/>
      <c r="R31" s="8"/>
      <c r="S31" s="8"/>
      <c r="T31" s="8"/>
      <c r="U31" s="8"/>
      <c r="V31" s="8"/>
      <c r="W31" s="8"/>
    </row>
    <row r="32" spans="1:23" x14ac:dyDescent="0.3">
      <c r="A32" s="8"/>
      <c r="B32" s="8"/>
      <c r="C32" s="8"/>
      <c r="D32" s="8"/>
      <c r="E32" s="8"/>
      <c r="F32" s="8"/>
      <c r="G32" s="8"/>
      <c r="H32" s="8"/>
      <c r="I32" s="8"/>
      <c r="J32" s="8"/>
      <c r="K32" s="8"/>
      <c r="L32" s="8"/>
      <c r="M32" s="8"/>
      <c r="N32" s="8"/>
      <c r="O32" s="8"/>
      <c r="P32" s="8"/>
      <c r="Q32" s="8"/>
      <c r="R32" s="8"/>
      <c r="S32" s="8"/>
      <c r="T32" s="8"/>
      <c r="U32" s="8"/>
      <c r="V32" s="8"/>
      <c r="W32" s="8"/>
    </row>
    <row r="33" spans="1:23" x14ac:dyDescent="0.3">
      <c r="A33" s="8"/>
      <c r="B33" s="8"/>
      <c r="C33" s="8"/>
      <c r="D33" s="8"/>
      <c r="E33" s="8"/>
      <c r="F33" s="8"/>
      <c r="G33" s="8"/>
      <c r="H33" s="8"/>
      <c r="I33" s="8"/>
      <c r="J33" s="8"/>
      <c r="K33" s="8"/>
      <c r="L33" s="8"/>
      <c r="M33" s="8"/>
      <c r="N33" s="8"/>
      <c r="O33" s="8"/>
      <c r="P33" s="8"/>
      <c r="Q33" s="8"/>
      <c r="R33" s="8"/>
      <c r="S33" s="8"/>
      <c r="T33" s="8"/>
      <c r="U33" s="8"/>
      <c r="V33" s="8"/>
      <c r="W33" s="8"/>
    </row>
    <row r="34" spans="1:23" x14ac:dyDescent="0.3">
      <c r="A34" s="8"/>
      <c r="B34" s="8"/>
      <c r="C34" s="8"/>
      <c r="D34" s="8"/>
      <c r="E34" s="8"/>
      <c r="F34" s="8"/>
      <c r="G34" s="8"/>
      <c r="H34" s="8"/>
      <c r="I34" s="8"/>
      <c r="J34" s="8"/>
      <c r="K34" s="8"/>
      <c r="L34" s="8"/>
      <c r="M34" s="8"/>
      <c r="N34" s="8"/>
      <c r="O34" s="8"/>
      <c r="P34" s="8"/>
      <c r="Q34" s="8"/>
      <c r="R34" s="8"/>
      <c r="S34" s="8"/>
      <c r="T34" s="8"/>
      <c r="U34" s="8"/>
      <c r="V34" s="8"/>
      <c r="W34" s="8"/>
    </row>
    <row r="35" spans="1:23" x14ac:dyDescent="0.3">
      <c r="A35" s="8"/>
      <c r="B35" s="8"/>
      <c r="C35" s="8"/>
      <c r="D35" s="8"/>
      <c r="E35" s="8"/>
      <c r="F35" s="8"/>
      <c r="G35" s="8"/>
      <c r="H35" s="8"/>
      <c r="I35" s="8"/>
      <c r="J35" s="8"/>
      <c r="K35" s="8"/>
      <c r="L35" s="8"/>
      <c r="M35" s="8"/>
      <c r="N35" s="8"/>
      <c r="O35" s="8"/>
      <c r="P35" s="8"/>
      <c r="Q35" s="8"/>
      <c r="R35" s="8"/>
      <c r="S35" s="8"/>
      <c r="T35" s="8"/>
      <c r="U35" s="8"/>
      <c r="V35" s="8"/>
      <c r="W35" s="8"/>
    </row>
    <row r="36" spans="1:23" x14ac:dyDescent="0.3">
      <c r="A36" s="8"/>
      <c r="B36" s="8"/>
      <c r="C36" s="8"/>
      <c r="D36" s="8"/>
      <c r="E36" s="8"/>
      <c r="F36" s="8"/>
      <c r="G36" s="8"/>
      <c r="H36" s="8"/>
      <c r="I36" s="8"/>
      <c r="J36" s="8"/>
      <c r="K36" s="8"/>
      <c r="L36" s="8"/>
      <c r="M36" s="8"/>
      <c r="N36" s="8"/>
      <c r="O36" s="8"/>
      <c r="P36" s="8"/>
      <c r="Q36" s="8"/>
      <c r="R36" s="8"/>
      <c r="S36" s="8"/>
      <c r="T36" s="8"/>
      <c r="U36" s="8"/>
      <c r="V36" s="8"/>
      <c r="W36" s="8"/>
    </row>
    <row r="37" spans="1:23" x14ac:dyDescent="0.3">
      <c r="A37" s="8"/>
      <c r="B37" s="8"/>
      <c r="C37" s="8"/>
      <c r="D37" s="8"/>
      <c r="E37" s="8"/>
      <c r="F37" s="8"/>
      <c r="G37" s="8"/>
      <c r="H37" s="8"/>
      <c r="I37" s="8"/>
      <c r="J37" s="8"/>
      <c r="K37" s="8"/>
      <c r="L37" s="8"/>
      <c r="M37" s="8"/>
      <c r="N37" s="8"/>
      <c r="O37" s="8"/>
      <c r="P37" s="8"/>
      <c r="Q37" s="8"/>
      <c r="R37" s="8"/>
      <c r="S37" s="8"/>
      <c r="T37" s="8"/>
      <c r="U37" s="8"/>
      <c r="V37" s="8"/>
      <c r="W37" s="8"/>
    </row>
    <row r="38" spans="1:23" x14ac:dyDescent="0.3">
      <c r="A38" s="8"/>
      <c r="B38" s="8"/>
      <c r="C38" s="8"/>
      <c r="D38" s="8"/>
      <c r="E38" s="8"/>
      <c r="F38" s="8"/>
      <c r="G38" s="8"/>
      <c r="H38" s="8"/>
      <c r="I38" s="8"/>
      <c r="J38" s="8"/>
      <c r="K38" s="8"/>
      <c r="L38" s="8"/>
      <c r="M38" s="8"/>
      <c r="N38" s="8"/>
      <c r="O38" s="8"/>
      <c r="P38" s="8"/>
      <c r="Q38" s="8"/>
      <c r="R38" s="8"/>
      <c r="S38" s="8"/>
      <c r="T38" s="8"/>
      <c r="U38" s="8"/>
      <c r="V38" s="8"/>
      <c r="W38" s="8"/>
    </row>
    <row r="39" spans="1:23" x14ac:dyDescent="0.3">
      <c r="A39" s="8"/>
      <c r="B39" s="8"/>
      <c r="C39" s="8"/>
      <c r="D39" s="8"/>
      <c r="E39" s="8"/>
      <c r="F39" s="8"/>
      <c r="G39" s="8"/>
      <c r="H39" s="8"/>
      <c r="I39" s="8"/>
      <c r="J39" s="8"/>
      <c r="K39" s="8"/>
      <c r="L39" s="8"/>
      <c r="M39" s="8"/>
      <c r="N39" s="8"/>
      <c r="O39" s="8"/>
      <c r="P39" s="8"/>
      <c r="Q39" s="8"/>
      <c r="R39" s="8"/>
      <c r="S39" s="8"/>
      <c r="T39" s="8"/>
      <c r="U39" s="8"/>
      <c r="V39" s="8"/>
      <c r="W39"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Complaints_Data</vt:lpstr>
      <vt:lpstr>Pivot table</vt:lpstr>
      <vt:lpstr>Dashboard</vt:lpstr>
      <vt:lpstr>avgcustrating</vt:lpstr>
      <vt:lpstr>AvgResolutime</vt:lpstr>
      <vt:lpstr>resolved_comp</vt:lpstr>
      <vt:lpstr>Total_comp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Krishnan unni</cp:lastModifiedBy>
  <dcterms:created xsi:type="dcterms:W3CDTF">2026-03-05T08:00:19Z</dcterms:created>
  <dcterms:modified xsi:type="dcterms:W3CDTF">2026-06-03T16:58:41Z</dcterms:modified>
</cp:coreProperties>
</file>